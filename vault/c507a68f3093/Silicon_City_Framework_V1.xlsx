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s" sheetId="1" state="visible" r:id="rId3"/>
    <sheet name="Energy &amp; Gates" sheetId="2" state="visible" r:id="rId4"/>
    <sheet name="Estimate Clas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<sst xmlns="http://schemas.openxmlformats.org/spreadsheetml/2006/main" count="70" uniqueCount="70">
  <si>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Silicon City — Pre-Feasibility Investment Framework (V1, 5 July 2026)</t>
  </si>
  <si>
    <t xml:space="preserve">AACE Class 5 estimates (accuracy −30%/+50%). Ranges, not point figures. Each phase gated on the previous. USD millions.</t>
  </si>
  <si>
    <t xml:space="preserve">Phase</t>
  </si>
  <si>
    <t xml:space="preserve">Scope</t>
  </si>
  <si>
    <t xml:space="preserve">Capex Low</t>
  </si>
  <si>
    <t xml:space="preserve">Capex High</t>
  </si>
  <si>
    <t xml:space="preserve">Mature Revenue Low</t>
  </si>
  <si>
    <t xml:space="preserve">Mature Revenue High</t>
  </si>
  <si>
    <t xml:space="preserve">Firm Power (MW)</t>
  </si>
  <si>
    <t xml:space="preserve">Indicative Years</t>
  </si>
  <si>
    <t xml:space="preserve">Gate to Proceed</t>
  </si>
  <si>
    <t xml:space="preserve">Basis / Source</t>
  </si>
  <si>
    <t xml:space="preserve">A</t>
  </si>
  <si>
    <t xml:space="preserve">Mine, wash plant, acid leach + magnetic separation, thermal calcination (the USD 105M staged project; Stages 1–3)</t>
  </si>
  <si>
    <t xml:space="preserve">0–7</t>
  </si>
  <si>
    <t xml:space="preserve">JORC verification; Stage 2 metallurgical confirmation; Stage 3 product qualification</t>
  </si>
  <si>
    <t xml:space="preserve">Financial Model V6 (this data room); Stage 3 revenue subject to metallurgical confirmation</t>
  </si>
  <si>
    <t xml:space="preserve">B</t>
  </si>
  <si>
    <t xml:space="preserve">Glass manufacturing (container / flat) and silica-based building materials (AAC, dry-mix, silicate products)</t>
  </si>
  <si>
    <t xml:space="preserve">3–8</t>
  </si>
  <si>
    <t xml:space="preserve">Stage 2 glass-grade qualification; anchor offtake or JV with established glass producer</t>
  </si>
  <si>
    <t xml:space="preserve">Industry benchmarks for 300–500 tpd glass lines; building materials benchmarks. No vendor quotes yet</t>
  </si>
  <si>
    <t xml:space="preserve">C</t>
  </si>
  <si>
    <t xml:space="preserve">Metallurgical-grade silicon smelter, 25–30 ktpa, incl. captive power share</t>
  </si>
  <si>
    <t xml:space="preserve">5–10</t>
  </si>
  <si>
    <t xml:space="preserve">Firm power solution secured; quartz feed spec confirmed; offtake LOIs</t>
  </si>
  <si>
    <t xml:space="preserve">Benchmark $2,500–5,000/t annual capacity; revenue at $1,800–2,400/t met-Si (own Market Study + 2026 market). Legacy smelter study superseded</t>
  </si>
  <si>
    <t xml:space="preserve">D</t>
  </si>
  <si>
    <t xml:space="preserve">Polysilicon plant, 5–7.5 ktpa — solar grade with pathway to electronic grade (industry standard 9N+), technology-partner dependent</t>
  </si>
  <si>
    <t xml:space="preserve">8–12</t>
  </si>
  <si>
    <t xml:space="preserve">Technology partner secured; power expansion; met-Si feed qualified</t>
  </si>
  <si>
    <t xml:space="preserve">Benchmark Siemens-process capex $10–20/kg capacity; revenue at $8–10/kg solar-grade. Electronic-grade premium treated as upside only</t>
  </si>
  <si>
    <t xml:space="preserve">E</t>
  </si>
  <si>
    <t xml:space="preserve">Solar cell and module manufacturing, ~1–1.5 GW/yr</t>
  </si>
  <si>
    <t xml:space="preserve">9–13</t>
  </si>
  <si>
    <t xml:space="preserve">Polysilicon or wafer feed secured; regional market access; technology partner</t>
  </si>
  <si>
    <t xml:space="preserve">Company national solar file ($337–505M incl. $100–150M solar farms; core factory $237–355M). Solar farms excluded here, structurable separately</t>
  </si>
  <si>
    <t xml:space="preserve">P</t>
  </si>
  <si>
    <t xml:space="preserve">Enabling power infrastructure, 100–170 MW firm (hybrid solar + storage + thermal), structurable as IPP</t>
  </si>
  <si>
    <t xml:space="preserve">5–12</t>
  </si>
  <si>
    <t xml:space="preserve">Bankable offtaker load from Phases C–E</t>
  </si>
  <si>
    <t xml:space="preserve">Benchmark hybrid IPP costs; can sit off balance sheet with a power partner</t>
  </si>
  <si>
    <t xml:space="preserve">TOTAL</t>
  </si>
  <si>
    <t xml:space="preserve">Core industrial capex (Phases A–E, ex-power)</t>
  </si>
  <si>
    <t xml:space="preserve">Headline: core industrial capex approximately USD 0.55–1.05 billion; base planning case ~USD 0.65B. Enabling power USD 0.1–0.2B additional, or partner-financed as an IPP.</t>
  </si>
  <si>
    <t xml:space="preserve">The binding constraint is firm electricity</t>
  </si>
  <si>
    <t xml:space="preserve">Phase C (smelter) requires ~45–55 MW continuous (met-Si at ~11–13 MWh/t).</t>
  </si>
  <si>
    <t xml:space="preserve">Phase D (polysilicon) adds ~50–90 MW (Siemens process ~50–80 kWh/kg).</t>
  </si>
  <si>
    <t xml:space="preserve">Full build-out requires 100–170 MW firm, ~0.8–1.3 TWh/yr — beyond current Syrian grid capability to supply firm.</t>
  </si>
  <si>
    <t xml:space="preserve">Strategy: Phases A and B proceed on modest grid/captive power (10–25 MW). Phases C–E are gated on a bankable power solution — hybrid solar + storage + thermal, grid rehabilitation, or dedicated IPP with a power partner.</t>
  </si>
  <si>
    <t xml:space="preserve">A formal power options study is the first workstream a Silicon City anchor partner should fund. Until it exists, Phases C–E remain Class 5 by definition.</t>
  </si>
  <si>
    <t xml:space="preserve">Gate logic</t>
  </si>
  <si>
    <t xml:space="preserve">A: JORC + metallurgy → unlocks B and C planning</t>
  </si>
  <si>
    <t xml:space="preserve">B: glass-grade qualification + offtake → glass complex FID</t>
  </si>
  <si>
    <t xml:space="preserve">C: power solution + feed spec → smelter FID</t>
  </si>
  <si>
    <t xml:space="preserve">D: technology partner + power expansion → polysilicon FID</t>
  </si>
  <si>
    <t xml:space="preserve">E: feed + market access → cells/modules FID</t>
  </si>
  <si>
    <t xml:space="preserve">Estimate classification and source register</t>
  </si>
  <si>
    <t xml:space="preserve">Phase A</t>
  </si>
  <si>
    <t xml:space="preserve">Near-DD-grade: bottom-up capex build exists (Financial Model V6). Pending: vendor quotes, JORC, metallurgy, legal confirmations.</t>
  </si>
  <si>
    <t xml:space="preserve">Phases B–E</t>
  </si>
  <si>
    <t xml:space="preserve">AACE Class 5 (concept screening, accuracy −30%/+50%). Industry benchmarks and the company national solar file. No vendor quotes, no power study, no site engineering.</t>
  </si>
  <si>
    <t xml:space="preserve">Superseded</t>
  </si>
  <si>
    <t xml:space="preserve">The legacy smelter feasibility study ($104.9M, $4,000/t met-Si, 275% ROI) is superseded in full: its pricing contradicted the company Market Study ($2,000–2,800/t), its furnace capacity did not support claimed volumes, and its tax basis (30% of revenue) predates the 2026 10%-on-profit rate. None of its figures appear here.</t>
  </si>
  <si>
    <t xml:space="preserve">9N language</t>
  </si>
  <si>
    <t xml:space="preserve">“9N+” describes the industry-standard purity class of electronic-grade polysilicon — the product category Phase D targets with a technology partner. It is not a claimed specification of Syria Silicon material. All product claims remain subject to metallurgical confirmation.</t>
  </si>
  <si>
    <t xml:space="preserve">Pricing sources</t>
  </si>
  <si>
    <t xml:space="preserve">Washed/glass silica: B. Maluish (VRX Silica) + company Market Study. Met-Si: company Market Study 2024 ($2,000–2,800/t) cross-checked to 2026 market ($1,250–2,900/t by region). Polysilicon: 2026 solar-grade market ~$5–10/kg.</t>
  </si>
  <si>
    <t xml:space="preserve">Disclaimer</t>
  </si>
  <si>
    <t xml:space="preserve">Pre-feasibility framework for evaluation under confidentiality. Not an offer of securities. Figures are ranges, expected to change ±30–50% through feasibility.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</si>
</sst>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40"/>
    <col collapsed="false" customWidth="true" hidden="false" outlineLevel="0" max="10" min="10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1.7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3.75" hidden="false" customHeight="true" outlineLevel="0" collapsed="false">
      <c r="A5" s="4" t="s">
        <v>12</v>
      </c>
      <c r="B5" s="4" t="s">
        <v>13</v>
      </c>
      <c r="C5" s="5" t="n">
        <v>105</v>
      </c>
      <c r="D5" s="5" t="n">
        <v>105</v>
      </c>
      <c r="E5" s="5" t="n">
        <v>35</v>
      </c>
      <c r="F5" s="5" t="n">
        <v>60</v>
      </c>
      <c r="G5" s="5" t="n">
        <v>10</v>
      </c>
      <c r="H5" s="4" t="s">
        <v>14</v>
      </c>
      <c r="I5" s="4" t="s">
        <v>15</v>
      </c>
      <c r="J5" s="4" t="s">
        <v>16</v>
      </c>
    </row>
    <row r="6" customFormat="false" ht="63.75" hidden="false" customHeight="true" outlineLevel="0" collapsed="false">
      <c r="A6" s="4" t="s">
        <v>17</v>
      </c>
      <c r="B6" s="4" t="s">
        <v>18</v>
      </c>
      <c r="C6" s="5" t="n">
        <v>95</v>
      </c>
      <c r="D6" s="5" t="n">
        <v>240</v>
      </c>
      <c r="E6" s="5" t="n">
        <v>60</v>
      </c>
      <c r="F6" s="5" t="n">
        <v>130</v>
      </c>
      <c r="G6" s="5" t="n">
        <v>20</v>
      </c>
      <c r="H6" s="4" t="s">
        <v>19</v>
      </c>
      <c r="I6" s="4" t="s">
        <v>20</v>
      </c>
      <c r="J6" s="4" t="s">
        <v>21</v>
      </c>
    </row>
    <row r="7" customFormat="false" ht="63.75" hidden="false" customHeight="true" outlineLevel="0" collapsed="false">
      <c r="A7" s="4" t="s">
        <v>22</v>
      </c>
      <c r="B7" s="4" t="s">
        <v>23</v>
      </c>
      <c r="C7" s="5" t="n">
        <v>120</v>
      </c>
      <c r="D7" s="5" t="n">
        <v>200</v>
      </c>
      <c r="E7" s="5" t="n">
        <v>45</v>
      </c>
      <c r="F7" s="5" t="n">
        <v>72</v>
      </c>
      <c r="G7" s="5" t="n">
        <v>50</v>
      </c>
      <c r="H7" s="4" t="s">
        <v>24</v>
      </c>
      <c r="I7" s="4" t="s">
        <v>25</v>
      </c>
      <c r="J7" s="4" t="s">
        <v>26</v>
      </c>
    </row>
    <row r="8" customFormat="false" ht="63.75" hidden="false" customHeight="true" outlineLevel="0" collapsed="false">
      <c r="A8" s="4" t="s">
        <v>27</v>
      </c>
      <c r="B8" s="4" t="s">
        <v>28</v>
      </c>
      <c r="C8" s="5" t="n">
        <v>80</v>
      </c>
      <c r="D8" s="5" t="n">
        <v>150</v>
      </c>
      <c r="E8" s="5" t="n">
        <v>40</v>
      </c>
      <c r="F8" s="5" t="n">
        <v>75</v>
      </c>
      <c r="G8" s="5" t="n">
        <v>70</v>
      </c>
      <c r="H8" s="4" t="s">
        <v>29</v>
      </c>
      <c r="I8" s="4" t="s">
        <v>30</v>
      </c>
      <c r="J8" s="4" t="s">
        <v>31</v>
      </c>
    </row>
    <row r="9" customFormat="false" ht="63.75" hidden="false" customHeight="true" outlineLevel="0" collapsed="false">
      <c r="A9" s="4" t="s">
        <v>32</v>
      </c>
      <c r="B9" s="4" t="s">
        <v>33</v>
      </c>
      <c r="C9" s="5" t="n">
        <v>150</v>
      </c>
      <c r="D9" s="5" t="n">
        <v>355</v>
      </c>
      <c r="E9" s="5" t="n">
        <v>100</v>
      </c>
      <c r="F9" s="5" t="n">
        <v>180</v>
      </c>
      <c r="G9" s="5" t="n">
        <v>15</v>
      </c>
      <c r="H9" s="4" t="s">
        <v>34</v>
      </c>
      <c r="I9" s="4" t="s">
        <v>35</v>
      </c>
      <c r="J9" s="4" t="s">
        <v>36</v>
      </c>
    </row>
    <row r="10" customFormat="false" ht="63.75" hidden="false" customHeight="true" outlineLevel="0" collapsed="false">
      <c r="A10" s="4" t="s">
        <v>37</v>
      </c>
      <c r="B10" s="4" t="s">
        <v>38</v>
      </c>
      <c r="C10" s="5" t="n">
        <v>100</v>
      </c>
      <c r="D10" s="5" t="n">
        <v>200</v>
      </c>
      <c r="E10" s="5" t="n">
        <v>0</v>
      </c>
      <c r="F10" s="5" t="n">
        <v>0</v>
      </c>
      <c r="G10" s="5" t="n">
        <v>0</v>
      </c>
      <c r="H10" s="4" t="s">
        <v>39</v>
      </c>
      <c r="I10" s="4" t="s">
        <v>40</v>
      </c>
      <c r="J10" s="4" t="s">
        <v>41</v>
      </c>
    </row>
    <row r="11" customFormat="false" ht="15" hidden="false" customHeight="false" outlineLevel="0" collapsed="false">
      <c r="A11" s="6" t="s">
        <v>42</v>
      </c>
      <c r="C11" s="7" t="n">
        <f aca="false">SUM(C5:C10)</f>
        <v>650</v>
      </c>
      <c r="D11" s="7" t="n">
        <f aca="false">SUM(D5:D10)</f>
        <v>1250</v>
      </c>
      <c r="E11" s="7" t="n">
        <f aca="false">SUM(E5:E10)</f>
        <v>280</v>
      </c>
      <c r="F11" s="7" t="n">
        <f aca="false">SUM(F5:F10)</f>
        <v>517</v>
      </c>
    </row>
    <row r="12" customFormat="false" ht="15" hidden="false" customHeight="false" outlineLevel="0" collapsed="false">
      <c r="A12" s="6" t="s">
        <v>43</v>
      </c>
      <c r="C12" s="8" t="n">
        <f aca="false">SUM(C5:C9)</f>
        <v>550</v>
      </c>
      <c r="D12" s="8" t="n">
        <f aca="false">SUM(D5:D9)</f>
        <v>1050</v>
      </c>
    </row>
    <row r="14" customFormat="false" ht="391" hidden="false" customHeight="false" outlineLevel="0" collapsed="false">
      <c r="A14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45</v>
      </c>
    </row>
    <row r="3" customFormat="false" ht="15" hidden="false" customHeight="false" outlineLevel="0" collapsed="false">
      <c r="A3" s="4" t="s">
        <v>46</v>
      </c>
    </row>
    <row r="4" customFormat="false" ht="15" hidden="false" customHeight="false" outlineLevel="0" collapsed="false">
      <c r="A4" s="4" t="s">
        <v>47</v>
      </c>
    </row>
    <row r="5" customFormat="false" ht="15" hidden="false" customHeight="false" outlineLevel="0" collapsed="false">
      <c r="A5" s="4" t="s">
        <v>48</v>
      </c>
    </row>
    <row r="6" customFormat="false" ht="28.35" hidden="false" customHeight="false" outlineLevel="0" collapsed="false">
      <c r="A6" s="4" t="s">
        <v>49</v>
      </c>
    </row>
    <row r="7" customFormat="false" ht="28.35" hidden="false" customHeight="false" outlineLevel="0" collapsed="false">
      <c r="A7" s="4" t="s">
        <v>50</v>
      </c>
    </row>
    <row r="10" customFormat="false" ht="15" hidden="false" customHeight="false" outlineLevel="0" collapsed="false">
      <c r="A10" s="11" t="s">
        <v>51</v>
      </c>
    </row>
    <row r="11" customFormat="false" ht="15" hidden="false" customHeight="false" outlineLevel="0" collapsed="false">
      <c r="A11" s="0" t="s">
        <v>52</v>
      </c>
    </row>
    <row r="12" customFormat="false" ht="15" hidden="false" customHeight="false" outlineLevel="0" collapsed="false">
      <c r="A12" s="0" t="s">
        <v>53</v>
      </c>
    </row>
    <row r="13" customFormat="false" ht="15" hidden="false" customHeight="false" outlineLevel="0" collapsed="false">
      <c r="A13" s="0" t="s">
        <v>54</v>
      </c>
    </row>
    <row r="14" customFormat="false" ht="15" hidden="false" customHeight="false" outlineLevel="0" collapsed="false">
      <c r="A14" s="0" t="s">
        <v>55</v>
      </c>
    </row>
    <row r="15" customFormat="false" ht="15" hidden="false" customHeight="false" outlineLevel="0" collapsed="false">
      <c r="A15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57</v>
      </c>
    </row>
    <row r="3" customFormat="false" ht="51.75" hidden="false" customHeight="true" outlineLevel="0" collapsed="false">
      <c r="A3" s="6" t="s">
        <v>58</v>
      </c>
      <c r="B3" s="4" t="s">
        <v>59</v>
      </c>
    </row>
    <row r="4" customFormat="false" ht="51.75" hidden="false" customHeight="true" outlineLevel="0" collapsed="false">
      <c r="A4" s="6" t="s">
        <v>60</v>
      </c>
      <c r="B4" s="4" t="s">
        <v>61</v>
      </c>
    </row>
    <row r="5" customFormat="false" ht="51.75" hidden="false" customHeight="true" outlineLevel="0" collapsed="false">
      <c r="A5" s="6" t="s">
        <v>62</v>
      </c>
      <c r="B5" s="4" t="s">
        <v>63</v>
      </c>
    </row>
    <row r="6" customFormat="false" ht="51.75" hidden="false" customHeight="true" outlineLevel="0" collapsed="false">
      <c r="A6" s="6" t="s">
        <v>64</v>
      </c>
      <c r="B6" s="4" t="s">
        <v>65</v>
      </c>
    </row>
    <row r="7" customFormat="false" ht="51.75" hidden="false" customHeight="true" outlineLevel="0" collapsed="false">
      <c r="A7" s="6" t="s">
        <v>66</v>
      </c>
      <c r="B7" s="4" t="s">
        <v>67</v>
      </c>
    </row>
    <row r="8" customFormat="false" ht="51.75" hidden="false" customHeight="true" outlineLevel="0" collapsed="false">
      <c r="A8" s="6" t="s">
        <v>68</v>
      </c>
      <c r="B8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2026-07-05T06:13:45Z</dcterms:created>
  <dc:creator>openpyxl</dc:creator>
  <dc:description/>
  <dc:language>en-US</dc:language>
  <cp:lastModifiedBy/>
  <dcterms:modified xsi:type="dcterms:W3CDTF">2026-07-05T06:13:45Z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