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del" sheetId="2" state="visible" r:id="rId4"/>
    <sheet name="Sensitivity" sheetId="3" state="visible" r:id="rId5"/>
    <sheet name="Bridge &amp; 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<sst xmlns="http://schemas.openxmlformats.org/spreadsheetml/2006/main" count="167" uniqueCount="137">
  <si>
    <t xml:space="preserve">Syria Silicon — Staged Development Project (USD 105M) — Financial Model V6</t>
  </si>
  <si>
    <t xml:space="preserve">Basis date: 5 July 2026. Supersedes the V4/V5 thread. Inputs in blue; key open items in yellow.</t>
  </si>
  <si>
    <t xml:space="preserve">PRICES (USD/t, FOB basis)</t>
  </si>
  <si>
    <t xml:space="preserve">Washed industrial silica — base price</t>
  </si>
  <si>
    <t xml:space="preserve">USD/t</t>
  </si>
  <si>
    <t xml:space="preserve">Source: B. Maluish, MD VRX Silica (ASX:VRX), project correspondence — range 35–45</t>
  </si>
  <si>
    <t xml:space="preserve">Glass-grade blended price — derived from product mix below (replaces unsupported $180/t)</t>
  </si>
  <si>
    <t xml:space="preserve">  Container-glass share</t>
  </si>
  <si>
    <t xml:space="preserve">share</t>
  </si>
  <si>
    <t xml:space="preserve">  Container-glass price</t>
  </si>
  <si>
    <t xml:space="preserve">Maluish glass band upper + regional delivery premium</t>
  </si>
  <si>
    <t xml:space="preserve">  Solar-glass share</t>
  </si>
  <si>
    <t xml:space="preserve">  Solar-glass price</t>
  </si>
  <si>
    <t xml:space="preserve">Maluish 4N solar glass 50–60</t>
  </si>
  <si>
    <t xml:space="preserve">  Foundry/specialty share</t>
  </si>
  <si>
    <t xml:space="preserve">  Foundry/specialty price</t>
  </si>
  <si>
    <t xml:space="preserve">Market Study high-purity band 40–120</t>
  </si>
  <si>
    <t xml:space="preserve">Glass-grade blended price (derived)</t>
  </si>
  <si>
    <t xml:space="preserve">HPQ indicative (Stage 3 upside only — excluded from base returns)</t>
  </si>
  <si>
    <t xml:space="preserve">Subject to metallurgical confirmation</t>
  </si>
  <si>
    <t xml:space="preserve">Price multiplier (scenario lever)</t>
  </si>
  <si>
    <t xml:space="preserve">x</t>
  </si>
  <si>
    <t xml:space="preserve">COSTS (USD/t unless noted)</t>
  </si>
  <si>
    <t xml:space="preserve">  Mining (self-managed)</t>
  </si>
  <si>
    <t xml:space="preserve">V4 bottom-up; June 2026 decision to self-manage extraction</t>
  </si>
  <si>
    <t xml:space="preserve">  Haulage mine to Hassia (~100 km)</t>
  </si>
  <si>
    <t xml:space="preserve">V4 bottom-up</t>
  </si>
  <si>
    <t xml:space="preserve">  Wash-plant processing</t>
  </si>
  <si>
    <t xml:space="preserve">  Site overhead</t>
  </si>
  <si>
    <t xml:space="preserve">Washed cash cost ex-royalty</t>
  </si>
  <si>
    <t xml:space="preserve">Upgrade adder (acid leach + magnetic separation)</t>
  </si>
  <si>
    <t xml:space="preserve">Pending Stage 2 vendor quotes — key open item</t>
  </si>
  <si>
    <t xml:space="preserve">Royalty — ad-valorem on realised price</t>
  </si>
  <si>
    <t xml:space="preserve">rate</t>
  </si>
  <si>
    <t xml:space="preserve">June 2026 decision (Saudi/Turkish benchmark); enacted basis pending legal confirmation</t>
  </si>
  <si>
    <t xml:space="preserve">SG&amp;A — Stage 1 (Years 1–3)</t>
  </si>
  <si>
    <t xml:space="preserve">USD M/yr</t>
  </si>
  <si>
    <t xml:space="preserve">Estimate</t>
  </si>
  <si>
    <t xml:space="preserve">SG&amp;A — from Stage 2 (Year 4+, ~1 Mtpa operation)</t>
  </si>
  <si>
    <t xml:space="preserve">Sustaining capex (% of cumulative expansion capex)</t>
  </si>
  <si>
    <t xml:space="preserve">per yr</t>
  </si>
  <si>
    <t xml:space="preserve">Volume multiplier (scenario lever)</t>
  </si>
  <si>
    <t xml:space="preserve">CAPITAL (USD M) — commitment envelopes incl. contingency and working capital (see Bridge sheet)</t>
  </si>
  <si>
    <t xml:space="preserve">Stage 1 envelope</t>
  </si>
  <si>
    <t xml:space="preserve">USD M</t>
  </si>
  <si>
    <t xml:space="preserve">Public pathway figure</t>
  </si>
  <si>
    <t xml:space="preserve">  Stage 1 spend — Year 0</t>
  </si>
  <si>
    <t xml:space="preserve">  Stage 1 spend — Year 1</t>
  </si>
  <si>
    <t xml:space="preserve">Stage 2 envelope</t>
  </si>
  <si>
    <t xml:space="preserve">  Stage 2 spend — Year 3</t>
  </si>
  <si>
    <t xml:space="preserve">  Stage 2 spend — Year 4</t>
  </si>
  <si>
    <t xml:space="preserve">Depreciation life (straight line)</t>
  </si>
  <si>
    <t xml:space="preserve">years</t>
  </si>
  <si>
    <t xml:space="preserve">TAX, WORKING CAPITAL, DISCOUNTING</t>
  </si>
  <si>
    <t xml:space="preserve">Corporate tax rate (on profit)</t>
  </si>
  <si>
    <t xml:space="preserve">2026 Syrian industrial rate — pending legal confirmation as enacted law</t>
  </si>
  <si>
    <t xml:space="preserve">Working capital (% of revenue)</t>
  </si>
  <si>
    <t xml:space="preserve">Discount rate (real, ungeared)</t>
  </si>
  <si>
    <t xml:space="preserve">Base</t>
  </si>
  <si>
    <t xml:space="preserve">Funding: 100% equity base case (no external collateral, so conventional secured debt is unavailable at outset — June 2026 analysis). Equipment leasing, offtaker advances, and royalty/streaming are later dilution-reduction levers.</t>
  </si>
  <si>
    <t xml:space="preserve">Stage 1 plant capacity (kt/yr)</t>
  </si>
  <si>
    <t xml:space="preserve">kt</t>
  </si>
  <si>
    <t xml:space="preserve">Integrated Model — Years 0–10 (USD M unless noted)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</si>
  <si>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</si>
  <si>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</si>
  <si>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</si>
  <si>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</si>
  <si>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</si>
  <si>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</si>
  <si>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</si>
  <si>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</si>
  <si>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</si>
  <si>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</si>
  <si>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</si>
  <si>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(year index)</t>
  </si>
  <si>
    <t xml:space="preserve">Base production plan (kt)</t>
  </si>
  <si>
    <t xml:space="preserve">Production (kt, after volume multiplier)</t>
  </si>
  <si>
    <t xml:space="preserve">Upgraded share</t>
  </si>
  <si>
    <t xml:space="preserve">Upgraded volume (kt)</t>
  </si>
  <si>
    <t xml:space="preserve">Washed volume (kt)</t>
  </si>
  <si>
    <t xml:space="preserve">Washed price (USD/t)</t>
  </si>
  <si>
    <t xml:space="preserve">Glass-grade price (USD/t)</t>
  </si>
  <si>
    <t xml:space="preserve">Revenue — washed</t>
  </si>
  <si>
    <t xml:space="preserve">Revenue — glass-grade</t>
  </si>
  <si>
    <t xml:space="preserve">Total revenue</t>
  </si>
  <si>
    <t xml:space="preserve">Royalty (ad-valorem)</t>
  </si>
  <si>
    <t xml:space="preserve">Cash costs — washed</t>
  </si>
  <si>
    <t xml:space="preserve">Cash costs — glass-grade</t>
  </si>
  <si>
    <t xml:space="preserve">SG&amp;A</t>
  </si>
  <si>
    <t xml:space="preserve">EBITDA</t>
  </si>
  <si>
    <t xml:space="preserve">Expansion capex</t>
  </si>
  <si>
    <t xml:space="preserve">Sustaining capex</t>
  </si>
  <si>
    <t xml:space="preserve">Total capex</t>
  </si>
  <si>
    <t xml:space="preserve">Depreciation</t>
  </si>
  <si>
    <t xml:space="preserve">EBT</t>
  </si>
  <si>
    <t xml:space="preserve">Tax</t>
  </si>
  <si>
    <t xml:space="preserve">Net income</t>
  </si>
  <si>
    <t xml:space="preserve">Change in working capital</t>
  </si>
  <si>
    <t xml:space="preserve">Free cash flow (equity, ungeared)</t>
  </si>
  <si>
    <t xml:space="preserve">Cumulative FCF</t>
  </si>
  <si>
    <t xml:space="preserve">RETURNS — consolidated Stages 1+2</t>
  </si>
  <si>
    <t xml:space="preserve">NPV at discount rate (USD M)</t>
  </si>
  <si>
    <t xml:space="preserve">IRR (ungeared, 100% equity)</t>
  </si>
  <si>
    <t xml:space="preserve">Years with negative cumulative FCF (payback indicator)</t>
  </si>
  <si>
    <t xml:space="preserve">STAGE 1 STANDALONE — washed product only, Stage 1 capex only (USD 25M single-stage view)</t>
  </si>
  <si>
    <t xml:space="preserve">Revenue (all washed)</t>
  </si>
  <si>
    <t xml:space="preserve">Tax (approx, on EBITDA less Stage 1 depreciation)</t>
  </si>
  <si>
    <t xml:space="preserve">FCF</t>
  </si>
  <si>
    <t xml:space="preserve">Stage 1 IRR</t>
  </si>
  <si>
    <t xml:space="preserve">Stage 1 NPV (USD M)</t>
  </si>
  <si>
    <t xml:space="preserve">Plateau-year (Year 6) EBITDA sensitivity — USD M</t>
  </si>
  <si>
    <t xml:space="preserve">Analytic at the Year-6 plan (500 kt, 55% upgraded). Prices net of ad-valorem royalty. For full-model scenarios use the multiplier levers on Assumptions (B15, B27).</t>
  </si>
  <si>
    <t xml:space="preserve">Price multiplier</t>
  </si>
  <si>
    <t xml:space="preserve">Volume multiplier</t>
  </si>
  <si>
    <t xml:space="preserve">Capex bridge, V4 to V6 change log, pending confirmations</t>
  </si>
  <si>
    <t xml:space="preserve">CAPEX BRIDGE — bottom-up to commitment envelopes (Stages 1+2, USD M)</t>
  </si>
  <si>
    <t xml:space="preserve">Bottom-up direct capex, Stages 1+2 (June 2026 build, incl. self-extraction fleet)</t>
  </si>
  <si>
    <t xml:space="preserve">Contingency (~12% of direct)</t>
  </si>
  <si>
    <t xml:space="preserve">Owner's costs, first fills, spares</t>
  </si>
  <si>
    <t xml:space="preserve">Initial working capital</t>
  </si>
  <si>
    <t xml:space="preserve">Total — equals Stage 1 + Stage 2 envelopes</t>
  </si>
  <si>
    <t xml:space="preserve">Ties to the public 25 + 25 = USD 50M. Stage-level split of directs to be firmed with vendor quotes; the previously quoted ~$12M equipment-only figure refers to the plant-equipment subset of directs.</t>
  </si>
  <si>
    <t xml:space="preserve">V4 TO V6 CHANGE LOG</t>
  </si>
  <si>
    <t xml:space="preserve">1. Royalty: the $2.00/t unit line (implied 4.4–5.7% ad-valorem) is replaced with the agreed 3.0% ad-valorem (~$1.05–1.35/t at $35–45/t). Decision: June 2026.</t>
  </si>
  <si>
    <t xml:space="preserve">2. Stage 2 pricing: the unsupported $180/t blended figure is replaced with a transparent product-mix stack (Assumptions rows 7–13), anchored to Maluish/VRX guidance and the Market Study band ($40–120/t).</t>
  </si>
  <si>
    <t xml:space="preserve">3. Tax: legacy 30%-of-revenue lines superseded by 10% on profit (2026 industrial rate; legal confirmation pending).</t>
  </si>
  <si>
    <t xml:space="preserve">4. Capex: 25/25 presented as commitment envelopes with a bottom-up bridge (above).</t>
  </si>
  <si>
    <t xml:space="preserve">5. Stage 3 (HPQ): excluded from base-case returns pending metallurgical confirmation; carried as upside only.</t>
  </si>
  <si>
    <t xml:space="preserve">6. The legacy smelter feasibility study is superseded in full; none of its figures are used anywhere in this model.</t>
  </si>
  <si>
    <t xml:space="preserve">PENDING CONFIRMATIONS (to close before signing-grade DD)</t>
  </si>
  <si>
    <t xml:space="preserve">Syria enacted mining royalty basis (legal)</t>
  </si>
  <si>
    <t xml:space="preserve">10% industrial tax as finalised law (legal)</t>
  </si>
  <si>
    <t xml:space="preserve">Stage 2 vendor quotes (acid leach + magnetic separation)</t>
  </si>
  <si>
    <t xml:space="preserve">Stage 3 metallurgical test work (upgrade response)</t>
  </si>
  <si>
    <t xml:space="preserve">JORC verification program (planned during Stage 1)</t>
  </si>
  <si>
    <t xml:space="preserve">DISCLAIMER</t>
  </si>
  <si>
    <t xml:space="preserve">Estimates and projections reflect the assumptions stated herein and are subject to the pending confirmations above. This model does not constitute an offer of securities. Prepared for evaluation under confidentiality.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</si>
</sst>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;\(#,##0.00\);\-"/>
    <numFmt numFmtId="166" formatCode="0.0%"/>
    <numFmt numFmtId="167" formatCode="#,##0.0;\(#,##0.0\);\-"/>
    <numFmt numFmtId="168" formatCode="#,##0;\(#,##0\);\-"/>
    <numFmt numFmtId="169" formatCode="#,##0"/>
    <numFmt numFmtId="170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8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8"/>
      <color rgb="FF888888"/>
      <name val="Cambria"/>
      <family val="0"/>
      <charset val="1"/>
    </font>
    <font>
      <sz val="11"/>
      <color rgb="FF008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74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</row>
    <row r="5" customFormat="false" ht="15" hidden="false" customHeight="true" outlineLevel="0" collapsed="false">
      <c r="A5" s="1" t="s">
        <v>3</v>
      </c>
      <c r="B5" s="6" t="n">
        <v>40</v>
      </c>
      <c r="C5" s="1" t="s">
        <v>4</v>
      </c>
      <c r="D5" s="7" t="s">
        <v>5</v>
      </c>
    </row>
    <row r="6" customFormat="false" ht="15" hidden="false" customHeight="true" outlineLevel="0" collapsed="false">
      <c r="A6" s="4" t="s">
        <v>6</v>
      </c>
      <c r="B6" s="5"/>
      <c r="C6" s="5"/>
      <c r="D6" s="5"/>
    </row>
    <row r="7" customFormat="false" ht="15" hidden="false" customHeight="true" outlineLevel="0" collapsed="false">
      <c r="A7" s="1" t="s">
        <v>7</v>
      </c>
      <c r="B7" s="8" t="n">
        <v>0.4</v>
      </c>
      <c r="C7" s="1" t="s">
        <v>8</v>
      </c>
      <c r="D7" s="7"/>
    </row>
    <row r="8" customFormat="false" ht="15" hidden="false" customHeight="true" outlineLevel="0" collapsed="false">
      <c r="A8" s="1" t="s">
        <v>9</v>
      </c>
      <c r="B8" s="6" t="n">
        <v>52</v>
      </c>
      <c r="C8" s="1" t="s">
        <v>4</v>
      </c>
      <c r="D8" s="7" t="s">
        <v>10</v>
      </c>
    </row>
    <row r="9" customFormat="false" ht="15" hidden="false" customHeight="true" outlineLevel="0" collapsed="false">
      <c r="A9" s="1" t="s">
        <v>11</v>
      </c>
      <c r="B9" s="8" t="n">
        <v>0.3</v>
      </c>
      <c r="C9" s="1" t="s">
        <v>8</v>
      </c>
      <c r="D9" s="7"/>
    </row>
    <row r="10" customFormat="false" ht="15" hidden="false" customHeight="true" outlineLevel="0" collapsed="false">
      <c r="A10" s="1" t="s">
        <v>12</v>
      </c>
      <c r="B10" s="6" t="n">
        <v>55</v>
      </c>
      <c r="C10" s="1" t="s">
        <v>4</v>
      </c>
      <c r="D10" s="7" t="s">
        <v>13</v>
      </c>
    </row>
    <row r="11" customFormat="false" ht="15" hidden="false" customHeight="true" outlineLevel="0" collapsed="false">
      <c r="A11" s="1" t="s">
        <v>14</v>
      </c>
      <c r="B11" s="8" t="n">
        <v>0.3</v>
      </c>
      <c r="C11" s="1" t="s">
        <v>8</v>
      </c>
      <c r="D11" s="7"/>
    </row>
    <row r="12" customFormat="false" ht="15" hidden="false" customHeight="true" outlineLevel="0" collapsed="false">
      <c r="A12" s="1" t="s">
        <v>15</v>
      </c>
      <c r="B12" s="9" t="n">
        <v>85</v>
      </c>
      <c r="C12" s="1" t="s">
        <v>4</v>
      </c>
      <c r="D12" s="7" t="s">
        <v>16</v>
      </c>
    </row>
    <row r="13" customFormat="false" ht="15" hidden="false" customHeight="true" outlineLevel="0" collapsed="false">
      <c r="A13" s="1" t="s">
        <v>17</v>
      </c>
      <c r="B13" s="10" t="n">
        <f aca="false">B7*B8+B9*B10+B11*B12</f>
        <v>62.8</v>
      </c>
      <c r="C13" s="1" t="s">
        <v>4</v>
      </c>
    </row>
    <row r="14" customFormat="false" ht="15" hidden="false" customHeight="true" outlineLevel="0" collapsed="false">
      <c r="A14" s="1" t="s">
        <v>18</v>
      </c>
      <c r="B14" s="9" t="n">
        <v>600</v>
      </c>
      <c r="C14" s="1" t="s">
        <v>4</v>
      </c>
      <c r="D14" s="7" t="s">
        <v>19</v>
      </c>
    </row>
    <row r="15" customFormat="false" ht="15" hidden="false" customHeight="true" outlineLevel="0" collapsed="false">
      <c r="A15" s="1" t="s">
        <v>20</v>
      </c>
      <c r="B15" s="6" t="n">
        <v>1</v>
      </c>
      <c r="C15" s="1" t="s">
        <v>21</v>
      </c>
      <c r="D15" s="7"/>
    </row>
    <row r="16" customFormat="false" ht="15" hidden="false" customHeight="true" outlineLevel="0" collapsed="false">
      <c r="A16" s="4" t="s">
        <v>22</v>
      </c>
      <c r="B16" s="5"/>
      <c r="C16" s="5"/>
      <c r="D16" s="5"/>
    </row>
    <row r="17" customFormat="false" ht="15" hidden="false" customHeight="true" outlineLevel="0" collapsed="false">
      <c r="A17" s="1" t="s">
        <v>23</v>
      </c>
      <c r="B17" s="6" t="n">
        <v>4</v>
      </c>
      <c r="C17" s="1" t="s">
        <v>4</v>
      </c>
      <c r="D17" s="7" t="s">
        <v>24</v>
      </c>
    </row>
    <row r="18" customFormat="false" ht="15" hidden="false" customHeight="true" outlineLevel="0" collapsed="false">
      <c r="A18" s="1" t="s">
        <v>25</v>
      </c>
      <c r="B18" s="6" t="n">
        <v>5</v>
      </c>
      <c r="C18" s="1" t="s">
        <v>4</v>
      </c>
      <c r="D18" s="7" t="s">
        <v>26</v>
      </c>
    </row>
    <row r="19" customFormat="false" ht="15" hidden="false" customHeight="true" outlineLevel="0" collapsed="false">
      <c r="A19" s="1" t="s">
        <v>27</v>
      </c>
      <c r="B19" s="6" t="n">
        <v>5</v>
      </c>
      <c r="C19" s="1" t="s">
        <v>4</v>
      </c>
      <c r="D19" s="7" t="s">
        <v>26</v>
      </c>
    </row>
    <row r="20" customFormat="false" ht="15" hidden="false" customHeight="true" outlineLevel="0" collapsed="false">
      <c r="A20" s="1" t="s">
        <v>28</v>
      </c>
      <c r="B20" s="6" t="n">
        <v>2.5</v>
      </c>
      <c r="C20" s="1" t="s">
        <v>4</v>
      </c>
      <c r="D20" s="7" t="s">
        <v>26</v>
      </c>
    </row>
    <row r="21" customFormat="false" ht="15" hidden="false" customHeight="true" outlineLevel="0" collapsed="false">
      <c r="A21" s="1" t="s">
        <v>29</v>
      </c>
      <c r="B21" s="10" t="n">
        <f aca="false">SUM(B17:B20)</f>
        <v>16.5</v>
      </c>
      <c r="C21" s="1" t="s">
        <v>4</v>
      </c>
    </row>
    <row r="22" customFormat="false" ht="15" hidden="false" customHeight="true" outlineLevel="0" collapsed="false">
      <c r="A22" s="1" t="s">
        <v>30</v>
      </c>
      <c r="B22" s="9" t="n">
        <v>14</v>
      </c>
      <c r="C22" s="1" t="s">
        <v>4</v>
      </c>
      <c r="D22" s="7" t="s">
        <v>31</v>
      </c>
    </row>
    <row r="23" customFormat="false" ht="15" hidden="false" customHeight="true" outlineLevel="0" collapsed="false">
      <c r="A23" s="1" t="s">
        <v>32</v>
      </c>
      <c r="B23" s="11" t="n">
        <v>0.03</v>
      </c>
      <c r="C23" s="1" t="s">
        <v>33</v>
      </c>
      <c r="D23" s="7" t="s">
        <v>34</v>
      </c>
    </row>
    <row r="24" customFormat="false" ht="15" hidden="false" customHeight="true" outlineLevel="0" collapsed="false">
      <c r="A24" s="1" t="s">
        <v>35</v>
      </c>
      <c r="B24" s="6" t="n">
        <v>2</v>
      </c>
      <c r="C24" s="1" t="s">
        <v>36</v>
      </c>
      <c r="D24" s="7" t="s">
        <v>37</v>
      </c>
    </row>
    <row r="25" customFormat="false" ht="15" hidden="false" customHeight="true" outlineLevel="0" collapsed="false">
      <c r="A25" s="1" t="s">
        <v>38</v>
      </c>
      <c r="B25" s="6" t="n">
        <v>4</v>
      </c>
      <c r="C25" s="1" t="s">
        <v>36</v>
      </c>
      <c r="D25" s="7" t="s">
        <v>37</v>
      </c>
    </row>
    <row r="26" customFormat="false" ht="15" hidden="false" customHeight="true" outlineLevel="0" collapsed="false">
      <c r="A26" s="1" t="s">
        <v>39</v>
      </c>
      <c r="B26" s="8" t="n">
        <v>0.02</v>
      </c>
      <c r="C26" s="1" t="s">
        <v>40</v>
      </c>
      <c r="D26" s="7" t="s">
        <v>37</v>
      </c>
    </row>
    <row r="27" customFormat="false" ht="15" hidden="false" customHeight="true" outlineLevel="0" collapsed="false">
      <c r="A27" s="1" t="s">
        <v>41</v>
      </c>
      <c r="B27" s="6" t="n">
        <v>1</v>
      </c>
      <c r="C27" s="1" t="s">
        <v>21</v>
      </c>
      <c r="D27" s="7"/>
    </row>
    <row r="28" customFormat="false" ht="15" hidden="false" customHeight="true" outlineLevel="0" collapsed="false">
      <c r="A28" s="4" t="s">
        <v>42</v>
      </c>
      <c r="B28" s="5"/>
      <c r="C28" s="5"/>
      <c r="D28" s="5"/>
    </row>
    <row r="29" customFormat="false" ht="15" hidden="false" customHeight="true" outlineLevel="0" collapsed="false">
      <c r="A29" s="1" t="s">
        <v>43</v>
      </c>
      <c r="B29" s="12" t="n">
        <v>25</v>
      </c>
      <c r="C29" s="1" t="s">
        <v>44</v>
      </c>
      <c r="D29" s="7" t="s">
        <v>45</v>
      </c>
    </row>
    <row r="30" customFormat="false" ht="15" hidden="false" customHeight="true" outlineLevel="0" collapsed="false">
      <c r="A30" s="1" t="s">
        <v>46</v>
      </c>
      <c r="B30" s="12" t="n">
        <v>15</v>
      </c>
      <c r="C30" s="1" t="s">
        <v>44</v>
      </c>
      <c r="D30" s="7"/>
    </row>
    <row r="31" customFormat="false" ht="15" hidden="false" customHeight="true" outlineLevel="0" collapsed="false">
      <c r="A31" s="1" t="s">
        <v>47</v>
      </c>
      <c r="B31" s="12" t="n">
        <v>10</v>
      </c>
      <c r="C31" s="1" t="s">
        <v>44</v>
      </c>
      <c r="D31" s="7"/>
    </row>
    <row r="32" customFormat="false" ht="15" hidden="false" customHeight="true" outlineLevel="0" collapsed="false">
      <c r="A32" s="1" t="s">
        <v>48</v>
      </c>
      <c r="B32" s="12" t="n">
        <v>25</v>
      </c>
      <c r="C32" s="1" t="s">
        <v>44</v>
      </c>
      <c r="D32" s="7"/>
    </row>
    <row r="33" customFormat="false" ht="15" hidden="false" customHeight="true" outlineLevel="0" collapsed="false">
      <c r="A33" s="1" t="s">
        <v>49</v>
      </c>
      <c r="B33" s="12" t="n">
        <v>10</v>
      </c>
      <c r="C33" s="1" t="s">
        <v>44</v>
      </c>
      <c r="D33" s="7"/>
    </row>
    <row r="34" customFormat="false" ht="15" hidden="false" customHeight="true" outlineLevel="0" collapsed="false">
      <c r="A34" s="1" t="s">
        <v>50</v>
      </c>
      <c r="B34" s="12" t="n">
        <v>15</v>
      </c>
      <c r="C34" s="1" t="s">
        <v>44</v>
      </c>
      <c r="D34" s="7"/>
    </row>
    <row r="35" customFormat="false" ht="15" hidden="false" customHeight="true" outlineLevel="0" collapsed="false">
      <c r="A35" s="1" t="s">
        <v>51</v>
      </c>
      <c r="B35" s="13" t="n">
        <v>10</v>
      </c>
      <c r="C35" s="1" t="s">
        <v>52</v>
      </c>
      <c r="D35" s="7"/>
    </row>
    <row r="36" customFormat="false" ht="15" hidden="false" customHeight="true" outlineLevel="0" collapsed="false">
      <c r="A36" s="4" t="s">
        <v>53</v>
      </c>
      <c r="B36" s="5"/>
      <c r="C36" s="5"/>
      <c r="D36" s="5"/>
    </row>
    <row r="37" customFormat="false" ht="15" hidden="false" customHeight="true" outlineLevel="0" collapsed="false">
      <c r="A37" s="1" t="s">
        <v>54</v>
      </c>
      <c r="B37" s="11" t="n">
        <v>0.1</v>
      </c>
      <c r="C37" s="1" t="s">
        <v>33</v>
      </c>
      <c r="D37" s="7" t="s">
        <v>55</v>
      </c>
    </row>
    <row r="38" customFormat="false" ht="15" hidden="false" customHeight="true" outlineLevel="0" collapsed="false">
      <c r="A38" s="1" t="s">
        <v>56</v>
      </c>
      <c r="B38" s="8" t="n">
        <v>0.1</v>
      </c>
      <c r="C38" s="1" t="s">
        <v>33</v>
      </c>
      <c r="D38" s="7" t="s">
        <v>37</v>
      </c>
    </row>
    <row r="39" customFormat="false" ht="15" hidden="false" customHeight="true" outlineLevel="0" collapsed="false">
      <c r="A39" s="1" t="s">
        <v>57</v>
      </c>
      <c r="B39" s="8" t="n">
        <v>0.1</v>
      </c>
      <c r="C39" s="1" t="s">
        <v>33</v>
      </c>
      <c r="D39" s="7" t="s">
        <v>58</v>
      </c>
    </row>
    <row r="41" customFormat="false" ht="15" hidden="false" customHeight="true" outlineLevel="0" collapsed="false">
      <c r="A41" s="7" t="s">
        <v>59</v>
      </c>
    </row>
    <row r="42" customFormat="false" ht="15" hidden="false" customHeight="false" outlineLevel="0" collapsed="false">
      <c r="A42" s="1" t="s">
        <v>60</v>
      </c>
      <c r="B42" s="14" t="n">
        <v>450</v>
      </c>
      <c r="C42" s="1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12" min="2" style="1" width="10"/>
  </cols>
  <sheetData>
    <row r="1" customFormat="false" ht="15" hidden="false" customHeight="true" outlineLevel="0" collapsed="false">
      <c r="A1" s="15" t="s">
        <v>62</v>
      </c>
    </row>
    <row r="2" customFormat="false" ht="15" hidden="false" customHeight="true" outlineLevel="0" collapsed="false">
      <c r="B2" s="16" t="s">
        <v>63</v>
      </c>
      <c r="C2" s="16" t="s">
        <v>64</v>
      </c>
      <c r="D2" s="16" t="s">
        <v>65</v>
      </c>
      <c r="E2" s="16" t="s">
        <v>66</v>
      </c>
      <c r="F2" s="16" t="s">
        <v>67</v>
      </c>
      <c r="G2" s="16" t="s">
        <v>68</v>
      </c>
      <c r="H2" s="16" t="s">
        <v>69</v>
      </c>
      <c r="I2" s="16" t="s">
        <v>70</v>
      </c>
      <c r="J2" s="16" t="s">
        <v>71</v>
      </c>
      <c r="K2" s="16" t="s">
        <v>72</v>
      </c>
      <c r="L2" s="16" t="s">
        <v>73</v>
      </c>
    </row>
    <row r="3" customFormat="false" ht="15" hidden="false" customHeight="true" outlineLevel="0" collapsed="false">
      <c r="A3" s="17" t="s">
        <v>74</v>
      </c>
      <c r="B3" s="17" t="n">
        <v>0</v>
      </c>
      <c r="C3" s="17" t="n">
        <v>1</v>
      </c>
      <c r="D3" s="17" t="n">
        <v>2</v>
      </c>
      <c r="E3" s="17" t="n">
        <v>3</v>
      </c>
      <c r="F3" s="17" t="n">
        <v>4</v>
      </c>
      <c r="G3" s="17" t="n">
        <v>5</v>
      </c>
      <c r="H3" s="17" t="n">
        <v>6</v>
      </c>
      <c r="I3" s="17" t="n">
        <v>7</v>
      </c>
      <c r="J3" s="17" t="n">
        <v>8</v>
      </c>
      <c r="K3" s="17" t="n">
        <v>9</v>
      </c>
      <c r="L3" s="17" t="n">
        <v>10</v>
      </c>
    </row>
    <row r="5" customFormat="false" ht="15" hidden="false" customHeight="true" outlineLevel="0" collapsed="false">
      <c r="A5" s="1" t="s">
        <v>75</v>
      </c>
      <c r="B5" s="13" t="n">
        <v>0</v>
      </c>
      <c r="C5" s="13" t="n">
        <v>150</v>
      </c>
      <c r="D5" s="13" t="n">
        <v>300</v>
      </c>
      <c r="E5" s="13" t="n">
        <v>400</v>
      </c>
      <c r="F5" s="13" t="n">
        <v>650</v>
      </c>
      <c r="G5" s="13" t="n">
        <v>800</v>
      </c>
      <c r="H5" s="13" t="n">
        <v>1000</v>
      </c>
      <c r="I5" s="13" t="n">
        <v>1000</v>
      </c>
      <c r="J5" s="13" t="n">
        <v>1000</v>
      </c>
      <c r="K5" s="13" t="n">
        <v>1000</v>
      </c>
      <c r="L5" s="13" t="n">
        <v>1000</v>
      </c>
    </row>
    <row r="6" customFormat="false" ht="15" hidden="false" customHeight="true" outlineLevel="0" collapsed="false">
      <c r="A6" s="1" t="s">
        <v>76</v>
      </c>
      <c r="B6" s="18" t="n">
        <f aca="false">B5*Assumptions!$B$27</f>
        <v>0</v>
      </c>
      <c r="C6" s="18" t="n">
        <f aca="false">C5*Assumptions!$B$27</f>
        <v>150</v>
      </c>
      <c r="D6" s="18" t="n">
        <f aca="false">D5*Assumptions!$B$27</f>
        <v>300</v>
      </c>
      <c r="E6" s="18" t="n">
        <f aca="false">E5*Assumptions!$B$27</f>
        <v>400</v>
      </c>
      <c r="F6" s="18" t="n">
        <f aca="false">F5*Assumptions!$B$27</f>
        <v>650</v>
      </c>
      <c r="G6" s="18" t="n">
        <f aca="false">G5*Assumptions!$B$27</f>
        <v>800</v>
      </c>
      <c r="H6" s="18" t="n">
        <f aca="false">H5*Assumptions!$B$27</f>
        <v>1000</v>
      </c>
      <c r="I6" s="18" t="n">
        <f aca="false">I5*Assumptions!$B$27</f>
        <v>1000</v>
      </c>
      <c r="J6" s="18" t="n">
        <f aca="false">J5*Assumptions!$B$27</f>
        <v>1000</v>
      </c>
      <c r="K6" s="18" t="n">
        <f aca="false">K5*Assumptions!$B$27</f>
        <v>1000</v>
      </c>
      <c r="L6" s="18" t="n">
        <f aca="false">L5*Assumptions!$B$27</f>
        <v>1000</v>
      </c>
    </row>
    <row r="7" customFormat="false" ht="15" hidden="false" customHeight="true" outlineLevel="0" collapsed="false">
      <c r="A7" s="1" t="s">
        <v>77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0.25</v>
      </c>
      <c r="G7" s="8" t="n">
        <v>0.35</v>
      </c>
      <c r="H7" s="8" t="n">
        <v>0.4</v>
      </c>
      <c r="I7" s="8" t="n">
        <v>0.4</v>
      </c>
      <c r="J7" s="8" t="n">
        <v>0.4</v>
      </c>
      <c r="K7" s="8" t="n">
        <v>0.4</v>
      </c>
      <c r="L7" s="8" t="n">
        <v>0.4</v>
      </c>
    </row>
    <row r="8" customFormat="false" ht="15" hidden="false" customHeight="true" outlineLevel="0" collapsed="false">
      <c r="A8" s="1" t="s">
        <v>78</v>
      </c>
      <c r="B8" s="18" t="n">
        <f aca="false">B6*B7</f>
        <v>0</v>
      </c>
      <c r="C8" s="18" t="n">
        <f aca="false">C6*C7</f>
        <v>0</v>
      </c>
      <c r="D8" s="18" t="n">
        <f aca="false">D6*D7</f>
        <v>0</v>
      </c>
      <c r="E8" s="18" t="n">
        <f aca="false">E6*E7</f>
        <v>0</v>
      </c>
      <c r="F8" s="18" t="n">
        <f aca="false">F6*F7</f>
        <v>162.5</v>
      </c>
      <c r="G8" s="18" t="n">
        <f aca="false">G6*G7</f>
        <v>280</v>
      </c>
      <c r="H8" s="18" t="n">
        <f aca="false">H6*H7</f>
        <v>400</v>
      </c>
      <c r="I8" s="18" t="n">
        <f aca="false">I6*I7</f>
        <v>400</v>
      </c>
      <c r="J8" s="18" t="n">
        <f aca="false">J6*J7</f>
        <v>400</v>
      </c>
      <c r="K8" s="18" t="n">
        <f aca="false">K6*K7</f>
        <v>400</v>
      </c>
      <c r="L8" s="18" t="n">
        <f aca="false">L6*L7</f>
        <v>400</v>
      </c>
    </row>
    <row r="9" customFormat="false" ht="15" hidden="false" customHeight="true" outlineLevel="0" collapsed="false">
      <c r="A9" s="1" t="s">
        <v>79</v>
      </c>
      <c r="B9" s="18" t="n">
        <f aca="false">B6-B8</f>
        <v>0</v>
      </c>
      <c r="C9" s="18" t="n">
        <f aca="false">C6-C8</f>
        <v>150</v>
      </c>
      <c r="D9" s="18" t="n">
        <f aca="false">D6-D8</f>
        <v>300</v>
      </c>
      <c r="E9" s="18" t="n">
        <f aca="false">E6-E8</f>
        <v>400</v>
      </c>
      <c r="F9" s="18" t="n">
        <f aca="false">F6-F8</f>
        <v>487.5</v>
      </c>
      <c r="G9" s="18" t="n">
        <f aca="false">G6-G8</f>
        <v>520</v>
      </c>
      <c r="H9" s="18" t="n">
        <f aca="false">H6-H8</f>
        <v>600</v>
      </c>
      <c r="I9" s="18" t="n">
        <f aca="false">I6-I8</f>
        <v>600</v>
      </c>
      <c r="J9" s="18" t="n">
        <f aca="false">J6-J8</f>
        <v>600</v>
      </c>
      <c r="K9" s="18" t="n">
        <f aca="false">K6-K8</f>
        <v>600</v>
      </c>
      <c r="L9" s="18" t="n">
        <f aca="false">L6-L8</f>
        <v>600</v>
      </c>
    </row>
    <row r="11" customFormat="false" ht="15" hidden="false" customHeight="true" outlineLevel="0" collapsed="false">
      <c r="A11" s="1" t="s">
        <v>80</v>
      </c>
      <c r="B11" s="19" t="n">
        <f aca="false">Assumptions!$B$5*Assumptions!$B$15</f>
        <v>40</v>
      </c>
      <c r="C11" s="19" t="n">
        <f aca="false">Assumptions!$B$5*Assumptions!$B$15</f>
        <v>40</v>
      </c>
      <c r="D11" s="19" t="n">
        <f aca="false">Assumptions!$B$5*Assumptions!$B$15</f>
        <v>40</v>
      </c>
      <c r="E11" s="19" t="n">
        <f aca="false">Assumptions!$B$5*Assumptions!$B$15</f>
        <v>40</v>
      </c>
      <c r="F11" s="19" t="n">
        <f aca="false">Assumptions!$B$5*Assumptions!$B$15</f>
        <v>40</v>
      </c>
      <c r="G11" s="19" t="n">
        <f aca="false">Assumptions!$B$5*Assumptions!$B$15</f>
        <v>40</v>
      </c>
      <c r="H11" s="19" t="n">
        <f aca="false">Assumptions!$B$5*Assumptions!$B$15</f>
        <v>40</v>
      </c>
      <c r="I11" s="19" t="n">
        <f aca="false">Assumptions!$B$5*Assumptions!$B$15</f>
        <v>40</v>
      </c>
      <c r="J11" s="19" t="n">
        <f aca="false">Assumptions!$B$5*Assumptions!$B$15</f>
        <v>40</v>
      </c>
      <c r="K11" s="19" t="n">
        <f aca="false">Assumptions!$B$5*Assumptions!$B$15</f>
        <v>40</v>
      </c>
      <c r="L11" s="19" t="n">
        <f aca="false">Assumptions!$B$5*Assumptions!$B$15</f>
        <v>40</v>
      </c>
    </row>
    <row r="12" customFormat="false" ht="15" hidden="false" customHeight="true" outlineLevel="0" collapsed="false">
      <c r="A12" s="1" t="s">
        <v>81</v>
      </c>
      <c r="B12" s="19" t="n">
        <f aca="false">Assumptions!$B$13*Assumptions!$B$15</f>
        <v>62.8</v>
      </c>
      <c r="C12" s="19" t="n">
        <f aca="false">Assumptions!$B$13*Assumptions!$B$15</f>
        <v>62.8</v>
      </c>
      <c r="D12" s="19" t="n">
        <f aca="false">Assumptions!$B$13*Assumptions!$B$15</f>
        <v>62.8</v>
      </c>
      <c r="E12" s="19" t="n">
        <f aca="false">Assumptions!$B$13*Assumptions!$B$15</f>
        <v>62.8</v>
      </c>
      <c r="F12" s="19" t="n">
        <f aca="false">Assumptions!$B$13*Assumptions!$B$15</f>
        <v>62.8</v>
      </c>
      <c r="G12" s="19" t="n">
        <f aca="false">Assumptions!$B$13*Assumptions!$B$15</f>
        <v>62.8</v>
      </c>
      <c r="H12" s="19" t="n">
        <f aca="false">Assumptions!$B$13*Assumptions!$B$15</f>
        <v>62.8</v>
      </c>
      <c r="I12" s="19" t="n">
        <f aca="false">Assumptions!$B$13*Assumptions!$B$15</f>
        <v>62.8</v>
      </c>
      <c r="J12" s="19" t="n">
        <f aca="false">Assumptions!$B$13*Assumptions!$B$15</f>
        <v>62.8</v>
      </c>
      <c r="K12" s="19" t="n">
        <f aca="false">Assumptions!$B$13*Assumptions!$B$15</f>
        <v>62.8</v>
      </c>
      <c r="L12" s="19" t="n">
        <f aca="false">Assumptions!$B$13*Assumptions!$B$15</f>
        <v>62.8</v>
      </c>
    </row>
    <row r="14" customFormat="false" ht="15" hidden="false" customHeight="true" outlineLevel="0" collapsed="false">
      <c r="A14" s="1" t="s">
        <v>82</v>
      </c>
      <c r="B14" s="20" t="n">
        <f aca="false">B9*B11/1000</f>
        <v>0</v>
      </c>
      <c r="C14" s="20" t="n">
        <f aca="false">C9*C11/1000</f>
        <v>6</v>
      </c>
      <c r="D14" s="20" t="n">
        <f aca="false">D9*D11/1000</f>
        <v>12</v>
      </c>
      <c r="E14" s="20" t="n">
        <f aca="false">E9*E11/1000</f>
        <v>16</v>
      </c>
      <c r="F14" s="20" t="n">
        <f aca="false">F9*F11/1000</f>
        <v>19.5</v>
      </c>
      <c r="G14" s="20" t="n">
        <f aca="false">G9*G11/1000</f>
        <v>20.8</v>
      </c>
      <c r="H14" s="20" t="n">
        <f aca="false">H9*H11/1000</f>
        <v>24</v>
      </c>
      <c r="I14" s="20" t="n">
        <f aca="false">I9*I11/1000</f>
        <v>24</v>
      </c>
      <c r="J14" s="20" t="n">
        <f aca="false">J9*J11/1000</f>
        <v>24</v>
      </c>
      <c r="K14" s="20" t="n">
        <f aca="false">K9*K11/1000</f>
        <v>24</v>
      </c>
      <c r="L14" s="20" t="n">
        <f aca="false">L9*L11/1000</f>
        <v>24</v>
      </c>
    </row>
    <row r="15" customFormat="false" ht="15" hidden="false" customHeight="true" outlineLevel="0" collapsed="false">
      <c r="A15" s="1" t="s">
        <v>83</v>
      </c>
      <c r="B15" s="20" t="n">
        <f aca="false">B8*B12/1000</f>
        <v>0</v>
      </c>
      <c r="C15" s="20" t="n">
        <f aca="false">C8*C12/1000</f>
        <v>0</v>
      </c>
      <c r="D15" s="20" t="n">
        <f aca="false">D8*D12/1000</f>
        <v>0</v>
      </c>
      <c r="E15" s="20" t="n">
        <f aca="false">E8*E12/1000</f>
        <v>0</v>
      </c>
      <c r="F15" s="20" t="n">
        <f aca="false">F8*F12/1000</f>
        <v>10.205</v>
      </c>
      <c r="G15" s="20" t="n">
        <f aca="false">G8*G12/1000</f>
        <v>17.584</v>
      </c>
      <c r="H15" s="20" t="n">
        <f aca="false">H8*H12/1000</f>
        <v>25.12</v>
      </c>
      <c r="I15" s="20" t="n">
        <f aca="false">I8*I12/1000</f>
        <v>25.12</v>
      </c>
      <c r="J15" s="20" t="n">
        <f aca="false">J8*J12/1000</f>
        <v>25.12</v>
      </c>
      <c r="K15" s="20" t="n">
        <f aca="false">K8*K12/1000</f>
        <v>25.12</v>
      </c>
      <c r="L15" s="20" t="n">
        <f aca="false">L8*L12/1000</f>
        <v>25.12</v>
      </c>
    </row>
    <row r="16" customFormat="false" ht="15" hidden="false" customHeight="true" outlineLevel="0" collapsed="false">
      <c r="A16" s="1" t="s">
        <v>84</v>
      </c>
      <c r="B16" s="20" t="n">
        <f aca="false">B14+B15</f>
        <v>0</v>
      </c>
      <c r="C16" s="20" t="n">
        <f aca="false">C14+C15</f>
        <v>6</v>
      </c>
      <c r="D16" s="20" t="n">
        <f aca="false">D14+D15</f>
        <v>12</v>
      </c>
      <c r="E16" s="20" t="n">
        <f aca="false">E14+E15</f>
        <v>16</v>
      </c>
      <c r="F16" s="20" t="n">
        <f aca="false">F14+F15</f>
        <v>29.705</v>
      </c>
      <c r="G16" s="20" t="n">
        <f aca="false">G14+G15</f>
        <v>38.384</v>
      </c>
      <c r="H16" s="20" t="n">
        <f aca="false">H14+H15</f>
        <v>49.12</v>
      </c>
      <c r="I16" s="20" t="n">
        <f aca="false">I14+I15</f>
        <v>49.12</v>
      </c>
      <c r="J16" s="20" t="n">
        <f aca="false">J14+J15</f>
        <v>49.12</v>
      </c>
      <c r="K16" s="20" t="n">
        <f aca="false">K14+K15</f>
        <v>49.12</v>
      </c>
      <c r="L16" s="20" t="n">
        <f aca="false">L14+L15</f>
        <v>49.12</v>
      </c>
    </row>
    <row r="17" customFormat="false" ht="15" hidden="false" customHeight="true" outlineLevel="0" collapsed="false">
      <c r="A17" s="1" t="s">
        <v>85</v>
      </c>
      <c r="B17" s="20" t="n">
        <f aca="false">B16*Assumptions!$B$23</f>
        <v>0</v>
      </c>
      <c r="C17" s="20" t="n">
        <f aca="false">C16*Assumptions!$B$23</f>
        <v>0.18</v>
      </c>
      <c r="D17" s="20" t="n">
        <f aca="false">D16*Assumptions!$B$23</f>
        <v>0.36</v>
      </c>
      <c r="E17" s="20" t="n">
        <f aca="false">E16*Assumptions!$B$23</f>
        <v>0.48</v>
      </c>
      <c r="F17" s="20" t="n">
        <f aca="false">F16*Assumptions!$B$23</f>
        <v>0.89115</v>
      </c>
      <c r="G17" s="20" t="n">
        <f aca="false">G16*Assumptions!$B$23</f>
        <v>1.15152</v>
      </c>
      <c r="H17" s="20" t="n">
        <f aca="false">H16*Assumptions!$B$23</f>
        <v>1.4736</v>
      </c>
      <c r="I17" s="20" t="n">
        <f aca="false">I16*Assumptions!$B$23</f>
        <v>1.4736</v>
      </c>
      <c r="J17" s="20" t="n">
        <f aca="false">J16*Assumptions!$B$23</f>
        <v>1.4736</v>
      </c>
      <c r="K17" s="20" t="n">
        <f aca="false">K16*Assumptions!$B$23</f>
        <v>1.4736</v>
      </c>
      <c r="L17" s="20" t="n">
        <f aca="false">L16*Assumptions!$B$23</f>
        <v>1.4736</v>
      </c>
    </row>
    <row r="18" customFormat="false" ht="15" hidden="false" customHeight="true" outlineLevel="0" collapsed="false">
      <c r="A18" s="1" t="s">
        <v>86</v>
      </c>
      <c r="B18" s="20" t="n">
        <f aca="false">B9*Assumptions!$B$21/1000</f>
        <v>0</v>
      </c>
      <c r="C18" s="20" t="n">
        <f aca="false">C9*Assumptions!$B$21/1000</f>
        <v>2.475</v>
      </c>
      <c r="D18" s="20" t="n">
        <f aca="false">D9*Assumptions!$B$21/1000</f>
        <v>4.95</v>
      </c>
      <c r="E18" s="20" t="n">
        <f aca="false">E9*Assumptions!$B$21/1000</f>
        <v>6.6</v>
      </c>
      <c r="F18" s="20" t="n">
        <f aca="false">F9*Assumptions!$B$21/1000</f>
        <v>8.04375</v>
      </c>
      <c r="G18" s="20" t="n">
        <f aca="false">G9*Assumptions!$B$21/1000</f>
        <v>8.58</v>
      </c>
      <c r="H18" s="20" t="n">
        <f aca="false">H9*Assumptions!$B$21/1000</f>
        <v>9.9</v>
      </c>
      <c r="I18" s="20" t="n">
        <f aca="false">I9*Assumptions!$B$21/1000</f>
        <v>9.9</v>
      </c>
      <c r="J18" s="20" t="n">
        <f aca="false">J9*Assumptions!$B$21/1000</f>
        <v>9.9</v>
      </c>
      <c r="K18" s="20" t="n">
        <f aca="false">K9*Assumptions!$B$21/1000</f>
        <v>9.9</v>
      </c>
      <c r="L18" s="20" t="n">
        <f aca="false">L9*Assumptions!$B$21/1000</f>
        <v>9.9</v>
      </c>
    </row>
    <row r="19" customFormat="false" ht="15" hidden="false" customHeight="true" outlineLevel="0" collapsed="false">
      <c r="A19" s="1" t="s">
        <v>87</v>
      </c>
      <c r="B19" s="20" t="n">
        <f aca="false">B8*(Assumptions!$B$21+Assumptions!$B$22)/1000</f>
        <v>0</v>
      </c>
      <c r="C19" s="20" t="n">
        <f aca="false">C8*(Assumptions!$B$21+Assumptions!$B$22)/1000</f>
        <v>0</v>
      </c>
      <c r="D19" s="20" t="n">
        <f aca="false">D8*(Assumptions!$B$21+Assumptions!$B$22)/1000</f>
        <v>0</v>
      </c>
      <c r="E19" s="20" t="n">
        <f aca="false">E8*(Assumptions!$B$21+Assumptions!$B$22)/1000</f>
        <v>0</v>
      </c>
      <c r="F19" s="20" t="n">
        <f aca="false">F8*(Assumptions!$B$21+Assumptions!$B$22)/1000</f>
        <v>4.95625</v>
      </c>
      <c r="G19" s="20" t="n">
        <f aca="false">G8*(Assumptions!$B$21+Assumptions!$B$22)/1000</f>
        <v>8.54</v>
      </c>
      <c r="H19" s="20" t="n">
        <f aca="false">H8*(Assumptions!$B$21+Assumptions!$B$22)/1000</f>
        <v>12.2</v>
      </c>
      <c r="I19" s="20" t="n">
        <f aca="false">I8*(Assumptions!$B$21+Assumptions!$B$22)/1000</f>
        <v>12.2</v>
      </c>
      <c r="J19" s="20" t="n">
        <f aca="false">J8*(Assumptions!$B$21+Assumptions!$B$22)/1000</f>
        <v>12.2</v>
      </c>
      <c r="K19" s="20" t="n">
        <f aca="false">K8*(Assumptions!$B$21+Assumptions!$B$22)/1000</f>
        <v>12.2</v>
      </c>
      <c r="L19" s="20" t="n">
        <f aca="false">L8*(Assumptions!$B$21+Assumptions!$B$22)/1000</f>
        <v>12.2</v>
      </c>
    </row>
    <row r="20" customFormat="false" ht="15" hidden="false" customHeight="true" outlineLevel="0" collapsed="false">
      <c r="A20" s="1" t="s">
        <v>88</v>
      </c>
      <c r="B20" s="20" t="n">
        <f aca="false">IF(B3=0,0,IF(B3&lt;=3,Assumptions!$B$24,Assumptions!$B$25))</f>
        <v>0</v>
      </c>
      <c r="C20" s="20" t="n">
        <f aca="false">IF(C3=0,0,IF(C3&lt;=3,Assumptions!$B$24,Assumptions!$B$25))</f>
        <v>2</v>
      </c>
      <c r="D20" s="20" t="n">
        <f aca="false">IF(D3=0,0,IF(D3&lt;=3,Assumptions!$B$24,Assumptions!$B$25))</f>
        <v>2</v>
      </c>
      <c r="E20" s="20" t="n">
        <f aca="false">IF(E3=0,0,IF(E3&lt;=3,Assumptions!$B$24,Assumptions!$B$25))</f>
        <v>2</v>
      </c>
      <c r="F20" s="20" t="n">
        <f aca="false">IF(F3=0,0,IF(F3&lt;=3,Assumptions!$B$24,Assumptions!$B$25))</f>
        <v>4</v>
      </c>
      <c r="G20" s="20" t="n">
        <f aca="false">IF(G3=0,0,IF(G3&lt;=3,Assumptions!$B$24,Assumptions!$B$25))</f>
        <v>4</v>
      </c>
      <c r="H20" s="20" t="n">
        <f aca="false">IF(H3=0,0,IF(H3&lt;=3,Assumptions!$B$24,Assumptions!$B$25))</f>
        <v>4</v>
      </c>
      <c r="I20" s="20" t="n">
        <f aca="false">IF(I3=0,0,IF(I3&lt;=3,Assumptions!$B$24,Assumptions!$B$25))</f>
        <v>4</v>
      </c>
      <c r="J20" s="20" t="n">
        <f aca="false">IF(J3=0,0,IF(J3&lt;=3,Assumptions!$B$24,Assumptions!$B$25))</f>
        <v>4</v>
      </c>
      <c r="K20" s="20" t="n">
        <f aca="false">IF(K3=0,0,IF(K3&lt;=3,Assumptions!$B$24,Assumptions!$B$25))</f>
        <v>4</v>
      </c>
      <c r="L20" s="20" t="n">
        <f aca="false">IF(L3=0,0,IF(L3&lt;=3,Assumptions!$B$24,Assumptions!$B$25))</f>
        <v>4</v>
      </c>
    </row>
    <row r="21" customFormat="false" ht="15" hidden="false" customHeight="true" outlineLevel="0" collapsed="false">
      <c r="A21" s="1" t="s">
        <v>89</v>
      </c>
      <c r="B21" s="20" t="n">
        <f aca="false">B16-B17-B18-B19-B20</f>
        <v>0</v>
      </c>
      <c r="C21" s="20" t="n">
        <f aca="false">C16-C17-C18-C19-C20</f>
        <v>1.345</v>
      </c>
      <c r="D21" s="20" t="n">
        <f aca="false">D16-D17-D18-D19-D20</f>
        <v>4.69</v>
      </c>
      <c r="E21" s="20" t="n">
        <f aca="false">E16-E17-E18-E19-E20</f>
        <v>6.92</v>
      </c>
      <c r="F21" s="20" t="n">
        <f aca="false">F16-F17-F18-F19-F20</f>
        <v>11.81385</v>
      </c>
      <c r="G21" s="20" t="n">
        <f aca="false">G16-G17-G18-G19-G20</f>
        <v>16.11248</v>
      </c>
      <c r="H21" s="20" t="n">
        <f aca="false">H16-H17-H18-H19-H20</f>
        <v>21.5464</v>
      </c>
      <c r="I21" s="20" t="n">
        <f aca="false">I16-I17-I18-I19-I20</f>
        <v>21.5464</v>
      </c>
      <c r="J21" s="20" t="n">
        <f aca="false">J16-J17-J18-J19-J20</f>
        <v>21.5464</v>
      </c>
      <c r="K21" s="20" t="n">
        <f aca="false">K16-K17-K18-K19-K20</f>
        <v>21.5464</v>
      </c>
      <c r="L21" s="20" t="n">
        <f aca="false">L16-L17-L18-L19-L20</f>
        <v>21.5464</v>
      </c>
    </row>
    <row r="23" customFormat="false" ht="15" hidden="false" customHeight="true" outlineLevel="0" collapsed="false">
      <c r="A23" s="1" t="s">
        <v>90</v>
      </c>
      <c r="B23" s="12" t="n">
        <v>15</v>
      </c>
      <c r="C23" s="12" t="n">
        <v>10</v>
      </c>
      <c r="D23" s="12" t="n">
        <v>0</v>
      </c>
      <c r="E23" s="12" t="n">
        <v>10</v>
      </c>
      <c r="F23" s="12" t="n">
        <v>15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</row>
    <row r="24" customFormat="false" ht="15" hidden="false" customHeight="true" outlineLevel="0" collapsed="false">
      <c r="A24" s="1" t="s">
        <v>91</v>
      </c>
      <c r="B24" s="20" t="n">
        <f aca="false">IF(B3&gt;=2,Assumptions!$B$26*SUM($B$23:B23),0)</f>
        <v>0</v>
      </c>
      <c r="C24" s="20" t="n">
        <f aca="false">IF(C3&gt;=2,Assumptions!$B$26*SUM($B$23:C23),0)</f>
        <v>0</v>
      </c>
      <c r="D24" s="20" t="n">
        <f aca="false">IF(D3&gt;=2,Assumptions!$B$26*SUM($B$23:D23),0)</f>
        <v>0.5</v>
      </c>
      <c r="E24" s="20" t="n">
        <f aca="false">IF(E3&gt;=2,Assumptions!$B$26*SUM($B$23:E23),0)</f>
        <v>0.7</v>
      </c>
      <c r="F24" s="20" t="n">
        <f aca="false">IF(F3&gt;=2,Assumptions!$B$26*SUM($B$23:F23),0)</f>
        <v>1</v>
      </c>
      <c r="G24" s="20" t="n">
        <f aca="false">IF(G3&gt;=2,Assumptions!$B$26*SUM($B$23:G23),0)</f>
        <v>1</v>
      </c>
      <c r="H24" s="20" t="n">
        <f aca="false">IF(H3&gt;=2,Assumptions!$B$26*SUM($B$23:H23),0)</f>
        <v>1</v>
      </c>
      <c r="I24" s="20" t="n">
        <f aca="false">IF(I3&gt;=2,Assumptions!$B$26*SUM($B$23:I23),0)</f>
        <v>1</v>
      </c>
      <c r="J24" s="20" t="n">
        <f aca="false">IF(J3&gt;=2,Assumptions!$B$26*SUM($B$23:J23),0)</f>
        <v>1</v>
      </c>
      <c r="K24" s="20" t="n">
        <f aca="false">IF(K3&gt;=2,Assumptions!$B$26*SUM($B$23:K23),0)</f>
        <v>1</v>
      </c>
      <c r="L24" s="20" t="n">
        <f aca="false">IF(L3&gt;=2,Assumptions!$B$26*SUM($B$23:L23),0)</f>
        <v>1</v>
      </c>
    </row>
    <row r="25" customFormat="false" ht="15" hidden="false" customHeight="true" outlineLevel="0" collapsed="false">
      <c r="A25" s="1" t="s">
        <v>92</v>
      </c>
      <c r="B25" s="20" t="n">
        <f aca="false">B23+B24</f>
        <v>15</v>
      </c>
      <c r="C25" s="20" t="n">
        <f aca="false">C23+C24</f>
        <v>10</v>
      </c>
      <c r="D25" s="20" t="n">
        <f aca="false">D23+D24</f>
        <v>0.5</v>
      </c>
      <c r="E25" s="20" t="n">
        <f aca="false">E23+E24</f>
        <v>10.7</v>
      </c>
      <c r="F25" s="20" t="n">
        <f aca="false">F23+F24</f>
        <v>16</v>
      </c>
      <c r="G25" s="20" t="n">
        <f aca="false">G23+G24</f>
        <v>1</v>
      </c>
      <c r="H25" s="20" t="n">
        <f aca="false">H23+H24</f>
        <v>1</v>
      </c>
      <c r="I25" s="20" t="n">
        <f aca="false">I23+I24</f>
        <v>1</v>
      </c>
      <c r="J25" s="20" t="n">
        <f aca="false">J23+J24</f>
        <v>1</v>
      </c>
      <c r="K25" s="20" t="n">
        <f aca="false">K23+K24</f>
        <v>1</v>
      </c>
      <c r="L25" s="20" t="n">
        <f aca="false">L23+L24</f>
        <v>1</v>
      </c>
    </row>
    <row r="26" customFormat="false" ht="15" hidden="false" customHeight="true" outlineLevel="0" collapsed="false">
      <c r="A26" s="1" t="s">
        <v>93</v>
      </c>
      <c r="B26" s="20" t="n">
        <f aca="false">IF(B3&gt;=1,Assumptions!$B$29/Assumptions!$B$35,0)+IF(B3&gt;=4,Assumptions!$B$32/Assumptions!$B$35,0)</f>
        <v>0</v>
      </c>
      <c r="C26" s="20" t="n">
        <f aca="false">IF(C3&gt;=1,Assumptions!$B$29/Assumptions!$B$35,0)+IF(C3&gt;=4,Assumptions!$B$32/Assumptions!$B$35,0)</f>
        <v>2.5</v>
      </c>
      <c r="D26" s="20" t="n">
        <f aca="false">IF(D3&gt;=1,Assumptions!$B$29/Assumptions!$B$35,0)+IF(D3&gt;=4,Assumptions!$B$32/Assumptions!$B$35,0)</f>
        <v>2.5</v>
      </c>
      <c r="E26" s="20" t="n">
        <f aca="false">IF(E3&gt;=1,Assumptions!$B$29/Assumptions!$B$35,0)+IF(E3&gt;=4,Assumptions!$B$32/Assumptions!$B$35,0)</f>
        <v>2.5</v>
      </c>
      <c r="F26" s="20" t="n">
        <f aca="false">IF(F3&gt;=1,Assumptions!$B$29/Assumptions!$B$35,0)+IF(F3&gt;=4,Assumptions!$B$32/Assumptions!$B$35,0)</f>
        <v>5</v>
      </c>
      <c r="G26" s="20" t="n">
        <f aca="false">IF(G3&gt;=1,Assumptions!$B$29/Assumptions!$B$35,0)+IF(G3&gt;=4,Assumptions!$B$32/Assumptions!$B$35,0)</f>
        <v>5</v>
      </c>
      <c r="H26" s="20" t="n">
        <f aca="false">IF(H3&gt;=1,Assumptions!$B$29/Assumptions!$B$35,0)+IF(H3&gt;=4,Assumptions!$B$32/Assumptions!$B$35,0)</f>
        <v>5</v>
      </c>
      <c r="I26" s="20" t="n">
        <f aca="false">IF(I3&gt;=1,Assumptions!$B$29/Assumptions!$B$35,0)+IF(I3&gt;=4,Assumptions!$B$32/Assumptions!$B$35,0)</f>
        <v>5</v>
      </c>
      <c r="J26" s="20" t="n">
        <f aca="false">IF(J3&gt;=1,Assumptions!$B$29/Assumptions!$B$35,0)+IF(J3&gt;=4,Assumptions!$B$32/Assumptions!$B$35,0)</f>
        <v>5</v>
      </c>
      <c r="K26" s="20" t="n">
        <f aca="false">IF(K3&gt;=1,Assumptions!$B$29/Assumptions!$B$35,0)+IF(K3&gt;=4,Assumptions!$B$32/Assumptions!$B$35,0)</f>
        <v>5</v>
      </c>
      <c r="L26" s="20" t="n">
        <f aca="false">IF(L3&gt;=1,Assumptions!$B$29/Assumptions!$B$35,0)+IF(L3&gt;=4,Assumptions!$B$32/Assumptions!$B$35,0)</f>
        <v>5</v>
      </c>
    </row>
    <row r="27" customFormat="false" ht="15" hidden="false" customHeight="true" outlineLevel="0" collapsed="false">
      <c r="A27" s="1" t="s">
        <v>94</v>
      </c>
      <c r="B27" s="20" t="n">
        <f aca="false">B21-B26</f>
        <v>0</v>
      </c>
      <c r="C27" s="20" t="n">
        <f aca="false">C21-C26</f>
        <v>-1.155</v>
      </c>
      <c r="D27" s="20" t="n">
        <f aca="false">D21-D26</f>
        <v>2.19</v>
      </c>
      <c r="E27" s="20" t="n">
        <f aca="false">E21-E26</f>
        <v>4.42</v>
      </c>
      <c r="F27" s="20" t="n">
        <f aca="false">F21-F26</f>
        <v>6.81385</v>
      </c>
      <c r="G27" s="20" t="n">
        <f aca="false">G21-G26</f>
        <v>11.11248</v>
      </c>
      <c r="H27" s="20" t="n">
        <f aca="false">H21-H26</f>
        <v>16.5464</v>
      </c>
      <c r="I27" s="20" t="n">
        <f aca="false">I21-I26</f>
        <v>16.5464</v>
      </c>
      <c r="J27" s="20" t="n">
        <f aca="false">J21-J26</f>
        <v>16.5464</v>
      </c>
      <c r="K27" s="20" t="n">
        <f aca="false">K21-K26</f>
        <v>16.5464</v>
      </c>
      <c r="L27" s="20" t="n">
        <f aca="false">L21-L26</f>
        <v>16.5464</v>
      </c>
    </row>
    <row r="28" customFormat="false" ht="15" hidden="false" customHeight="true" outlineLevel="0" collapsed="false">
      <c r="A28" s="1" t="s">
        <v>95</v>
      </c>
      <c r="B28" s="20" t="n">
        <f aca="false">MAX(0,B27*Assumptions!$B$37)</f>
        <v>0</v>
      </c>
      <c r="C28" s="20" t="n">
        <f aca="false">MAX(0,C27*Assumptions!$B$37)</f>
        <v>0</v>
      </c>
      <c r="D28" s="20" t="n">
        <f aca="false">MAX(0,D27*Assumptions!$B$37)</f>
        <v>0.219</v>
      </c>
      <c r="E28" s="20" t="n">
        <f aca="false">MAX(0,E27*Assumptions!$B$37)</f>
        <v>0.442</v>
      </c>
      <c r="F28" s="20" t="n">
        <f aca="false">MAX(0,F27*Assumptions!$B$37)</f>
        <v>0.681385</v>
      </c>
      <c r="G28" s="20" t="n">
        <f aca="false">MAX(0,G27*Assumptions!$B$37)</f>
        <v>1.111248</v>
      </c>
      <c r="H28" s="20" t="n">
        <f aca="false">MAX(0,H27*Assumptions!$B$37)</f>
        <v>1.65464</v>
      </c>
      <c r="I28" s="20" t="n">
        <f aca="false">MAX(0,I27*Assumptions!$B$37)</f>
        <v>1.65464</v>
      </c>
      <c r="J28" s="20" t="n">
        <f aca="false">MAX(0,J27*Assumptions!$B$37)</f>
        <v>1.65464</v>
      </c>
      <c r="K28" s="20" t="n">
        <f aca="false">MAX(0,K27*Assumptions!$B$37)</f>
        <v>1.65464</v>
      </c>
      <c r="L28" s="20" t="n">
        <f aca="false">MAX(0,L27*Assumptions!$B$37)</f>
        <v>1.65464</v>
      </c>
    </row>
    <row r="29" customFormat="false" ht="15" hidden="false" customHeight="true" outlineLevel="0" collapsed="false">
      <c r="A29" s="1" t="s">
        <v>96</v>
      </c>
      <c r="B29" s="20" t="n">
        <f aca="false">B27-B28</f>
        <v>0</v>
      </c>
      <c r="C29" s="20" t="n">
        <f aca="false">C27-C28</f>
        <v>-1.155</v>
      </c>
      <c r="D29" s="20" t="n">
        <f aca="false">D27-D28</f>
        <v>1.971</v>
      </c>
      <c r="E29" s="20" t="n">
        <f aca="false">E27-E28</f>
        <v>3.978</v>
      </c>
      <c r="F29" s="20" t="n">
        <f aca="false">F27-F28</f>
        <v>6.132465</v>
      </c>
      <c r="G29" s="20" t="n">
        <f aca="false">G27-G28</f>
        <v>10.001232</v>
      </c>
      <c r="H29" s="20" t="n">
        <f aca="false">H27-H28</f>
        <v>14.89176</v>
      </c>
      <c r="I29" s="20" t="n">
        <f aca="false">I27-I28</f>
        <v>14.89176</v>
      </c>
      <c r="J29" s="20" t="n">
        <f aca="false">J27-J28</f>
        <v>14.89176</v>
      </c>
      <c r="K29" s="20" t="n">
        <f aca="false">K27-K28</f>
        <v>14.89176</v>
      </c>
      <c r="L29" s="20" t="n">
        <f aca="false">L27-L28</f>
        <v>14.89176</v>
      </c>
    </row>
    <row r="31" customFormat="false" ht="15" hidden="false" customHeight="true" outlineLevel="0" collapsed="false">
      <c r="A31" s="1" t="s">
        <v>97</v>
      </c>
      <c r="B31" s="20" t="n">
        <f aca="false">Assumptions!$B$38*B16</f>
        <v>0</v>
      </c>
      <c r="C31" s="20" t="n">
        <f aca="false">Assumptions!$B$38*(C16-B16)</f>
        <v>0.6</v>
      </c>
      <c r="D31" s="20" t="n">
        <f aca="false">Assumptions!$B$38*(D16-C16)</f>
        <v>0.6</v>
      </c>
      <c r="E31" s="20" t="n">
        <f aca="false">Assumptions!$B$38*(E16-D16)</f>
        <v>0.4</v>
      </c>
      <c r="F31" s="20" t="n">
        <f aca="false">Assumptions!$B$38*(F16-E16)</f>
        <v>1.3705</v>
      </c>
      <c r="G31" s="20" t="n">
        <f aca="false">Assumptions!$B$38*(G16-F16)</f>
        <v>0.8679</v>
      </c>
      <c r="H31" s="20" t="n">
        <f aca="false">Assumptions!$B$38*(H16-G16)</f>
        <v>1.0736</v>
      </c>
      <c r="I31" s="20" t="n">
        <f aca="false">Assumptions!$B$38*(I16-H16)</f>
        <v>0</v>
      </c>
      <c r="J31" s="20" t="n">
        <f aca="false">Assumptions!$B$38*(J16-I16)</f>
        <v>0</v>
      </c>
      <c r="K31" s="20" t="n">
        <f aca="false">Assumptions!$B$38*(K16-J16)</f>
        <v>0</v>
      </c>
      <c r="L31" s="20" t="n">
        <f aca="false">Assumptions!$B$38*(L16-K16)</f>
        <v>0</v>
      </c>
    </row>
    <row r="32" customFormat="false" ht="15" hidden="false" customHeight="true" outlineLevel="0" collapsed="false">
      <c r="A32" s="1" t="s">
        <v>98</v>
      </c>
      <c r="B32" s="20" t="n">
        <f aca="false">B21-B28-B25-B31</f>
        <v>-15</v>
      </c>
      <c r="C32" s="20" t="n">
        <f aca="false">C21-C28-C25-C31</f>
        <v>-9.255</v>
      </c>
      <c r="D32" s="20" t="n">
        <f aca="false">D21-D28-D25-D31</f>
        <v>3.371</v>
      </c>
      <c r="E32" s="20" t="n">
        <f aca="false">E21-E28-E25-E31</f>
        <v>-4.622</v>
      </c>
      <c r="F32" s="20" t="n">
        <f aca="false">F21-F28-F25-F31</f>
        <v>-6.238035</v>
      </c>
      <c r="G32" s="20" t="n">
        <f aca="false">G21-G28-G25-G31</f>
        <v>13.133332</v>
      </c>
      <c r="H32" s="20" t="n">
        <f aca="false">H21-H28-H25-H31</f>
        <v>17.81816</v>
      </c>
      <c r="I32" s="20" t="n">
        <f aca="false">I21-I28-I25-I31</f>
        <v>18.89176</v>
      </c>
      <c r="J32" s="20" t="n">
        <f aca="false">J21-J28-J25-J31</f>
        <v>18.89176</v>
      </c>
      <c r="K32" s="20" t="n">
        <f aca="false">K21-K28-K25-K31</f>
        <v>18.89176</v>
      </c>
      <c r="L32" s="20" t="n">
        <f aca="false">L21-L28-L25-L31</f>
        <v>18.89176</v>
      </c>
    </row>
    <row r="33" customFormat="false" ht="15" hidden="false" customHeight="true" outlineLevel="0" collapsed="false">
      <c r="A33" s="1" t="s">
        <v>99</v>
      </c>
      <c r="B33" s="20" t="n">
        <f aca="false">B32</f>
        <v>-15</v>
      </c>
      <c r="C33" s="20" t="n">
        <f aca="false">B33+C32</f>
        <v>-24.255</v>
      </c>
      <c r="D33" s="20" t="n">
        <f aca="false">C33+D32</f>
        <v>-20.884</v>
      </c>
      <c r="E33" s="20" t="n">
        <f aca="false">D33+E32</f>
        <v>-25.506</v>
      </c>
      <c r="F33" s="20" t="n">
        <f aca="false">E33+F32</f>
        <v>-31.744035</v>
      </c>
      <c r="G33" s="20" t="n">
        <f aca="false">F33+G32</f>
        <v>-18.610703</v>
      </c>
      <c r="H33" s="20" t="n">
        <f aca="false">G33+H32</f>
        <v>-0.792542999999991</v>
      </c>
      <c r="I33" s="20" t="n">
        <f aca="false">H33+I32</f>
        <v>18.099217</v>
      </c>
      <c r="J33" s="20" t="n">
        <f aca="false">I33+J32</f>
        <v>36.990977</v>
      </c>
      <c r="K33" s="20" t="n">
        <f aca="false">J33+K32</f>
        <v>55.882737</v>
      </c>
      <c r="L33" s="20" t="n">
        <f aca="false">K33+L32</f>
        <v>74.774497</v>
      </c>
    </row>
    <row r="35" customFormat="false" ht="15" hidden="false" customHeight="true" outlineLevel="0" collapsed="false">
      <c r="A35" s="4" t="s">
        <v>100</v>
      </c>
    </row>
    <row r="36" customFormat="false" ht="15" hidden="false" customHeight="true" outlineLevel="0" collapsed="false">
      <c r="A36" s="1" t="s">
        <v>101</v>
      </c>
      <c r="B36" s="21" t="n">
        <f aca="false">B32+NPV(Assumptions!$B$39,C32:L32)</f>
        <v>23.6548750761186</v>
      </c>
    </row>
    <row r="37" customFormat="false" ht="15" hidden="false" customHeight="true" outlineLevel="0" collapsed="false">
      <c r="A37" s="1" t="s">
        <v>102</v>
      </c>
      <c r="B37" s="22" t="n">
        <f aca="false">IRR(B32:L32)</f>
        <v>0.211248487296617</v>
      </c>
    </row>
    <row r="38" customFormat="false" ht="15" hidden="false" customHeight="true" outlineLevel="0" collapsed="false">
      <c r="A38" s="1" t="s">
        <v>103</v>
      </c>
      <c r="B38" s="18" t="n">
        <f aca="false">COUNTIF(B33:L33,"&lt;0")</f>
        <v>7</v>
      </c>
    </row>
    <row r="40" customFormat="false" ht="15" hidden="false" customHeight="true" outlineLevel="0" collapsed="false">
      <c r="A40" s="4" t="s">
        <v>104</v>
      </c>
    </row>
    <row r="41" customFormat="false" ht="15" hidden="false" customHeight="true" outlineLevel="0" collapsed="false">
      <c r="A41" s="1" t="s">
        <v>105</v>
      </c>
      <c r="B41" s="20" t="n">
        <f aca="false">MIN(B6,Assumptions!$B$42)*B11/1000</f>
        <v>0</v>
      </c>
      <c r="C41" s="20" t="n">
        <f aca="false">MIN(C6,Assumptions!$B$42)*C11/1000</f>
        <v>6</v>
      </c>
      <c r="D41" s="20" t="n">
        <f aca="false">MIN(D6,Assumptions!$B$42)*D11/1000</f>
        <v>12</v>
      </c>
      <c r="E41" s="20" t="n">
        <f aca="false">MIN(E6,Assumptions!$B$42)*E11/1000</f>
        <v>16</v>
      </c>
      <c r="F41" s="20" t="n">
        <f aca="false">MIN(F6,Assumptions!$B$42)*F11/1000</f>
        <v>18</v>
      </c>
      <c r="G41" s="20" t="n">
        <f aca="false">MIN(G6,Assumptions!$B$42)*G11/1000</f>
        <v>18</v>
      </c>
      <c r="H41" s="20" t="n">
        <f aca="false">MIN(H6,Assumptions!$B$42)*H11/1000</f>
        <v>18</v>
      </c>
      <c r="I41" s="20" t="n">
        <f aca="false">MIN(I6,Assumptions!$B$42)*I11/1000</f>
        <v>18</v>
      </c>
      <c r="J41" s="20" t="n">
        <f aca="false">MIN(J6,Assumptions!$B$42)*J11/1000</f>
        <v>18</v>
      </c>
      <c r="K41" s="20" t="n">
        <f aca="false">MIN(K6,Assumptions!$B$42)*K11/1000</f>
        <v>18</v>
      </c>
      <c r="L41" s="20" t="n">
        <f aca="false">MIN(L6,Assumptions!$B$42)*L11/1000</f>
        <v>18</v>
      </c>
    </row>
    <row r="42" customFormat="false" ht="15" hidden="false" customHeight="true" outlineLevel="0" collapsed="false">
      <c r="A42" s="1" t="s">
        <v>89</v>
      </c>
      <c r="B42" s="20" t="n">
        <f aca="false">B41*(1-Assumptions!$B$23)-MIN(B6,Assumptions!$B$42)*Assumptions!$B$21/1000-IF(B3=0,0,Assumptions!$B$24)</f>
        <v>0</v>
      </c>
      <c r="C42" s="20" t="n">
        <f aca="false">C41*(1-Assumptions!$B$23)-MIN(C6,Assumptions!$B$42)*Assumptions!$B$21/1000-IF(C3=0,0,Assumptions!$B$24)</f>
        <v>1.345</v>
      </c>
      <c r="D42" s="20" t="n">
        <f aca="false">D41*(1-Assumptions!$B$23)-MIN(D6,Assumptions!$B$42)*Assumptions!$B$21/1000-IF(D3=0,0,Assumptions!$B$24)</f>
        <v>4.69</v>
      </c>
      <c r="E42" s="20" t="n">
        <f aca="false">E41*(1-Assumptions!$B$23)-MIN(E6,Assumptions!$B$42)*Assumptions!$B$21/1000-IF(E3=0,0,Assumptions!$B$24)</f>
        <v>6.92</v>
      </c>
      <c r="F42" s="20" t="n">
        <f aca="false">F41*(1-Assumptions!$B$23)-MIN(F6,Assumptions!$B$42)*Assumptions!$B$21/1000-IF(F3=0,0,Assumptions!$B$24)</f>
        <v>8.035</v>
      </c>
      <c r="G42" s="20" t="n">
        <f aca="false">G41*(1-Assumptions!$B$23)-MIN(G6,Assumptions!$B$42)*Assumptions!$B$21/1000-IF(G3=0,0,Assumptions!$B$24)</f>
        <v>8.035</v>
      </c>
      <c r="H42" s="20" t="n">
        <f aca="false">H41*(1-Assumptions!$B$23)-MIN(H6,Assumptions!$B$42)*Assumptions!$B$21/1000-IF(H3=0,0,Assumptions!$B$24)</f>
        <v>8.035</v>
      </c>
      <c r="I42" s="20" t="n">
        <f aca="false">I41*(1-Assumptions!$B$23)-MIN(I6,Assumptions!$B$42)*Assumptions!$B$21/1000-IF(I3=0,0,Assumptions!$B$24)</f>
        <v>8.035</v>
      </c>
      <c r="J42" s="20" t="n">
        <f aca="false">J41*(1-Assumptions!$B$23)-MIN(J6,Assumptions!$B$42)*Assumptions!$B$21/1000-IF(J3=0,0,Assumptions!$B$24)</f>
        <v>8.035</v>
      </c>
      <c r="K42" s="20" t="n">
        <f aca="false">K41*(1-Assumptions!$B$23)-MIN(K6,Assumptions!$B$42)*Assumptions!$B$21/1000-IF(K3=0,0,Assumptions!$B$24)</f>
        <v>8.035</v>
      </c>
      <c r="L42" s="20" t="n">
        <f aca="false">L41*(1-Assumptions!$B$23)-MIN(L6,Assumptions!$B$42)*Assumptions!$B$21/1000-IF(L3=0,0,Assumptions!$B$24)</f>
        <v>8.035</v>
      </c>
    </row>
    <row r="43" customFormat="false" ht="15" hidden="false" customHeight="true" outlineLevel="0" collapsed="false">
      <c r="A43" s="1" t="s">
        <v>106</v>
      </c>
      <c r="B43" s="20" t="n">
        <f aca="false">MAX(0,(B42-IF(B3&gt;=1,Assumptions!$B$29/Assumptions!$B$35,0))*Assumptions!$B$37)</f>
        <v>0</v>
      </c>
      <c r="C43" s="20" t="n">
        <f aca="false">MAX(0,(C42-IF(C3&gt;=1,Assumptions!$B$29/Assumptions!$B$35,0))*Assumptions!$B$37)</f>
        <v>0</v>
      </c>
      <c r="D43" s="20" t="n">
        <f aca="false">MAX(0,(D42-IF(D3&gt;=1,Assumptions!$B$29/Assumptions!$B$35,0))*Assumptions!$B$37)</f>
        <v>0.219</v>
      </c>
      <c r="E43" s="20" t="n">
        <f aca="false">MAX(0,(E42-IF(E3&gt;=1,Assumptions!$B$29/Assumptions!$B$35,0))*Assumptions!$B$37)</f>
        <v>0.442</v>
      </c>
      <c r="F43" s="20" t="n">
        <f aca="false">MAX(0,(F42-IF(F3&gt;=1,Assumptions!$B$29/Assumptions!$B$35,0))*Assumptions!$B$37)</f>
        <v>0.5535</v>
      </c>
      <c r="G43" s="20" t="n">
        <f aca="false">MAX(0,(G42-IF(G3&gt;=1,Assumptions!$B$29/Assumptions!$B$35,0))*Assumptions!$B$37)</f>
        <v>0.5535</v>
      </c>
      <c r="H43" s="20" t="n">
        <f aca="false">MAX(0,(H42-IF(H3&gt;=1,Assumptions!$B$29/Assumptions!$B$35,0))*Assumptions!$B$37)</f>
        <v>0.5535</v>
      </c>
      <c r="I43" s="20" t="n">
        <f aca="false">MAX(0,(I42-IF(I3&gt;=1,Assumptions!$B$29/Assumptions!$B$35,0))*Assumptions!$B$37)</f>
        <v>0.5535</v>
      </c>
      <c r="J43" s="20" t="n">
        <f aca="false">MAX(0,(J42-IF(J3&gt;=1,Assumptions!$B$29/Assumptions!$B$35,0))*Assumptions!$B$37)</f>
        <v>0.5535</v>
      </c>
      <c r="K43" s="20" t="n">
        <f aca="false">MAX(0,(K42-IF(K3&gt;=1,Assumptions!$B$29/Assumptions!$B$35,0))*Assumptions!$B$37)</f>
        <v>0.5535</v>
      </c>
      <c r="L43" s="20" t="n">
        <f aca="false">MAX(0,(L42-IF(L3&gt;=1,Assumptions!$B$29/Assumptions!$B$35,0))*Assumptions!$B$37)</f>
        <v>0.5535</v>
      </c>
    </row>
    <row r="44" customFormat="false" ht="15" hidden="false" customHeight="true" outlineLevel="0" collapsed="false">
      <c r="A44" s="1" t="s">
        <v>107</v>
      </c>
      <c r="B44" s="20" t="n">
        <f aca="false">B42-B43-15-Assumptions!$B$38*B41</f>
        <v>-15</v>
      </c>
      <c r="C44" s="20" t="n">
        <f aca="false">C42-C43-10-Assumptions!$B$38*(C41-B41)</f>
        <v>-9.255</v>
      </c>
      <c r="D44" s="20" t="n">
        <f aca="false">D42-D43-0-Assumptions!$B$38*(D41-C41)</f>
        <v>3.871</v>
      </c>
      <c r="E44" s="20" t="n">
        <f aca="false">E42-E43-0-Assumptions!$B$38*(E41-D41)</f>
        <v>6.078</v>
      </c>
      <c r="F44" s="20" t="n">
        <f aca="false">F42-F43-0-Assumptions!$B$38*(F41-E41)</f>
        <v>7.2815</v>
      </c>
      <c r="G44" s="20" t="n">
        <f aca="false">G42-G43-0-Assumptions!$B$38*(G41-F41)</f>
        <v>7.4815</v>
      </c>
      <c r="H44" s="20" t="n">
        <f aca="false">H42-H43-0-Assumptions!$B$38*(H41-G41)</f>
        <v>7.4815</v>
      </c>
      <c r="I44" s="20" t="n">
        <f aca="false">I42-I43-0-Assumptions!$B$38*(I41-H41)</f>
        <v>7.4815</v>
      </c>
      <c r="J44" s="20" t="n">
        <f aca="false">J42-J43-0-Assumptions!$B$38*(J41-I41)</f>
        <v>7.4815</v>
      </c>
      <c r="K44" s="20" t="n">
        <f aca="false">K42-K43-0-Assumptions!$B$38*(K41-J41)</f>
        <v>7.4815</v>
      </c>
      <c r="L44" s="20" t="n">
        <f aca="false">L42-L43-0-Assumptions!$B$38*(L41-K41)</f>
        <v>7.4815</v>
      </c>
    </row>
    <row r="45" customFormat="false" ht="15" hidden="false" customHeight="true" outlineLevel="0" collapsed="false">
      <c r="A45" s="1" t="s">
        <v>99</v>
      </c>
      <c r="B45" s="20" t="n">
        <f aca="false">B44</f>
        <v>-15</v>
      </c>
      <c r="C45" s="20" t="n">
        <f aca="false">B45+C44</f>
        <v>-24.255</v>
      </c>
      <c r="D45" s="20" t="n">
        <f aca="false">C45+D44</f>
        <v>-20.384</v>
      </c>
      <c r="E45" s="20" t="n">
        <f aca="false">D45+E44</f>
        <v>-14.306</v>
      </c>
      <c r="F45" s="20" t="n">
        <f aca="false">E45+F44</f>
        <v>-7.0245</v>
      </c>
      <c r="G45" s="20" t="n">
        <f aca="false">F45+G44</f>
        <v>0.457</v>
      </c>
      <c r="H45" s="20" t="n">
        <f aca="false">G45+H44</f>
        <v>7.9385</v>
      </c>
      <c r="I45" s="20" t="n">
        <f aca="false">H45+I44</f>
        <v>15.42</v>
      </c>
      <c r="J45" s="20" t="n">
        <f aca="false">I45+J44</f>
        <v>22.9015</v>
      </c>
      <c r="K45" s="20" t="n">
        <f aca="false">J45+K44</f>
        <v>30.383</v>
      </c>
      <c r="L45" s="20" t="n">
        <f aca="false">K45+L44</f>
        <v>37.8645</v>
      </c>
    </row>
    <row r="46" customFormat="false" ht="15" hidden="false" customHeight="true" outlineLevel="0" collapsed="false">
      <c r="A46" s="1" t="s">
        <v>108</v>
      </c>
      <c r="B46" s="22" t="n">
        <f aca="false">IRR(B44:L44)</f>
        <v>0.189103046274658</v>
      </c>
    </row>
    <row r="47" customFormat="false" ht="15" hidden="false" customHeight="true" outlineLevel="0" collapsed="false">
      <c r="A47" s="1" t="s">
        <v>109</v>
      </c>
      <c r="B47" s="21" t="n">
        <f aca="false">B44+NPV(Assumptions!$B$39,C44:L44)</f>
        <v>11.5806214896705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</cols>
  <sheetData>
    <row r="1" customFormat="false" ht="15" hidden="false" customHeight="true" outlineLevel="0" collapsed="false">
      <c r="A1" s="15" t="s">
        <v>110</v>
      </c>
    </row>
    <row r="2" customFormat="false" ht="15" hidden="false" customHeight="true" outlineLevel="0" collapsed="false">
      <c r="A2" s="3" t="s">
        <v>111</v>
      </c>
    </row>
    <row r="4" customFormat="false" ht="15" hidden="false" customHeight="true" outlineLevel="0" collapsed="false">
      <c r="B4" s="23" t="s">
        <v>112</v>
      </c>
      <c r="C4" s="24" t="n">
        <v>0.8</v>
      </c>
      <c r="D4" s="24" t="n">
        <v>0.9</v>
      </c>
      <c r="E4" s="24" t="n">
        <v>1</v>
      </c>
      <c r="F4" s="24" t="n">
        <v>1.1</v>
      </c>
      <c r="G4" s="24" t="n">
        <v>1.2</v>
      </c>
    </row>
    <row r="5" customFormat="false" ht="15" hidden="false" customHeight="true" outlineLevel="0" collapsed="false">
      <c r="A5" s="23" t="s">
        <v>113</v>
      </c>
      <c r="B5" s="24" t="n">
        <v>0.75</v>
      </c>
      <c r="C5" s="20" t="n">
        <f aca="false">$B5*Model!$H$5*(Model!$H$7*(Assumptions!$B$13*C$4*(1-Assumptions!$B$23)-(Assumptions!$B$21+Assumptions!$B$22))+(1-Model!$H$7)*(Assumptions!$B$5*C$4*(1-Assumptions!$B$23)-Assumptions!$B$21))/1000-Assumptions!$B$25</f>
        <v>8.01284</v>
      </c>
      <c r="D5" s="20" t="n">
        <f aca="false">$B5*Model!$H$5*(Model!$H$7*(Assumptions!$B$13*D$4*(1-Assumptions!$B$23)-(Assumptions!$B$21+Assumptions!$B$22))+(1-Model!$H$7)*(Assumptions!$B$5*D$4*(1-Assumptions!$B$23)-Assumptions!$B$21))/1000-Assumptions!$B$25</f>
        <v>11.58632</v>
      </c>
      <c r="E5" s="20" t="n">
        <f aca="false">$B5*Model!$H$5*(Model!$H$7*(Assumptions!$B$13*E$4*(1-Assumptions!$B$23)-(Assumptions!$B$21+Assumptions!$B$22))+(1-Model!$H$7)*(Assumptions!$B$5*E$4*(1-Assumptions!$B$23)-Assumptions!$B$21))/1000-Assumptions!$B$25</f>
        <v>15.1598</v>
      </c>
      <c r="F5" s="20" t="n">
        <f aca="false">$B5*Model!$H$5*(Model!$H$7*(Assumptions!$B$13*F$4*(1-Assumptions!$B$23)-(Assumptions!$B$21+Assumptions!$B$22))+(1-Model!$H$7)*(Assumptions!$B$5*F$4*(1-Assumptions!$B$23)-Assumptions!$B$21))/1000-Assumptions!$B$25</f>
        <v>18.73328</v>
      </c>
      <c r="G5" s="20" t="n">
        <f aca="false">$B5*Model!$H$5*(Model!$H$7*(Assumptions!$B$13*G$4*(1-Assumptions!$B$23)-(Assumptions!$B$21+Assumptions!$B$22))+(1-Model!$H$7)*(Assumptions!$B$5*G$4*(1-Assumptions!$B$23)-Assumptions!$B$21))/1000-Assumptions!$B$25</f>
        <v>22.30676</v>
      </c>
    </row>
    <row r="6" customFormat="false" ht="15" hidden="false" customHeight="true" outlineLevel="0" collapsed="false">
      <c r="B6" s="24" t="n">
        <v>0.9</v>
      </c>
      <c r="C6" s="20" t="n">
        <f aca="false">$B6*Model!$H$5*(Model!$H$7*(Assumptions!$B$13*C$4*(1-Assumptions!$B$23)-(Assumptions!$B$21+Assumptions!$B$22))+(1-Model!$H$7)*(Assumptions!$B$5*C$4*(1-Assumptions!$B$23)-Assumptions!$B$21))/1000-Assumptions!$B$25</f>
        <v>10.415408</v>
      </c>
      <c r="D6" s="20" t="n">
        <f aca="false">$B6*Model!$H$5*(Model!$H$7*(Assumptions!$B$13*D$4*(1-Assumptions!$B$23)-(Assumptions!$B$21+Assumptions!$B$22))+(1-Model!$H$7)*(Assumptions!$B$5*D$4*(1-Assumptions!$B$23)-Assumptions!$B$21))/1000-Assumptions!$B$25</f>
        <v>14.703584</v>
      </c>
      <c r="E6" s="20" t="n">
        <f aca="false">$B6*Model!$H$5*(Model!$H$7*(Assumptions!$B$13*E$4*(1-Assumptions!$B$23)-(Assumptions!$B$21+Assumptions!$B$22))+(1-Model!$H$7)*(Assumptions!$B$5*E$4*(1-Assumptions!$B$23)-Assumptions!$B$21))/1000-Assumptions!$B$25</f>
        <v>18.99176</v>
      </c>
      <c r="F6" s="20" t="n">
        <f aca="false">$B6*Model!$H$5*(Model!$H$7*(Assumptions!$B$13*F$4*(1-Assumptions!$B$23)-(Assumptions!$B$21+Assumptions!$B$22))+(1-Model!$H$7)*(Assumptions!$B$5*F$4*(1-Assumptions!$B$23)-Assumptions!$B$21))/1000-Assumptions!$B$25</f>
        <v>23.279936</v>
      </c>
      <c r="G6" s="20" t="n">
        <f aca="false">$B6*Model!$H$5*(Model!$H$7*(Assumptions!$B$13*G$4*(1-Assumptions!$B$23)-(Assumptions!$B$21+Assumptions!$B$22))+(1-Model!$H$7)*(Assumptions!$B$5*G$4*(1-Assumptions!$B$23)-Assumptions!$B$21))/1000-Assumptions!$B$25</f>
        <v>27.568112</v>
      </c>
    </row>
    <row r="7" customFormat="false" ht="15" hidden="false" customHeight="true" outlineLevel="0" collapsed="false">
      <c r="B7" s="24" t="n">
        <v>1</v>
      </c>
      <c r="C7" s="20" t="n">
        <f aca="false">$B7*Model!$H$5*(Model!$H$7*(Assumptions!$B$13*C$4*(1-Assumptions!$B$23)-(Assumptions!$B$21+Assumptions!$B$22))+(1-Model!$H$7)*(Assumptions!$B$5*C$4*(1-Assumptions!$B$23)-Assumptions!$B$21))/1000-Assumptions!$B$25</f>
        <v>12.01712</v>
      </c>
      <c r="D7" s="20" t="n">
        <f aca="false">$B7*Model!$H$5*(Model!$H$7*(Assumptions!$B$13*D$4*(1-Assumptions!$B$23)-(Assumptions!$B$21+Assumptions!$B$22))+(1-Model!$H$7)*(Assumptions!$B$5*D$4*(1-Assumptions!$B$23)-Assumptions!$B$21))/1000-Assumptions!$B$25</f>
        <v>16.78176</v>
      </c>
      <c r="E7" s="20" t="n">
        <f aca="false">$B7*Model!$H$5*(Model!$H$7*(Assumptions!$B$13*E$4*(1-Assumptions!$B$23)-(Assumptions!$B$21+Assumptions!$B$22))+(1-Model!$H$7)*(Assumptions!$B$5*E$4*(1-Assumptions!$B$23)-Assumptions!$B$21))/1000-Assumptions!$B$25</f>
        <v>21.5464</v>
      </c>
      <c r="F7" s="20" t="n">
        <f aca="false">$B7*Model!$H$5*(Model!$H$7*(Assumptions!$B$13*F$4*(1-Assumptions!$B$23)-(Assumptions!$B$21+Assumptions!$B$22))+(1-Model!$H$7)*(Assumptions!$B$5*F$4*(1-Assumptions!$B$23)-Assumptions!$B$21))/1000-Assumptions!$B$25</f>
        <v>26.31104</v>
      </c>
      <c r="G7" s="20" t="n">
        <f aca="false">$B7*Model!$H$5*(Model!$H$7*(Assumptions!$B$13*G$4*(1-Assumptions!$B$23)-(Assumptions!$B$21+Assumptions!$B$22))+(1-Model!$H$7)*(Assumptions!$B$5*G$4*(1-Assumptions!$B$23)-Assumptions!$B$21))/1000-Assumptions!$B$25</f>
        <v>31.07568</v>
      </c>
    </row>
    <row r="8" customFormat="false" ht="15" hidden="false" customHeight="true" outlineLevel="0" collapsed="false">
      <c r="B8" s="24" t="n">
        <v>1.1</v>
      </c>
      <c r="C8" s="20" t="n">
        <f aca="false">$B8*Model!$H$5*(Model!$H$7*(Assumptions!$B$13*C$4*(1-Assumptions!$B$23)-(Assumptions!$B$21+Assumptions!$B$22))+(1-Model!$H$7)*(Assumptions!$B$5*C$4*(1-Assumptions!$B$23)-Assumptions!$B$21))/1000-Assumptions!$B$25</f>
        <v>13.618832</v>
      </c>
      <c r="D8" s="20" t="n">
        <f aca="false">$B8*Model!$H$5*(Model!$H$7*(Assumptions!$B$13*D$4*(1-Assumptions!$B$23)-(Assumptions!$B$21+Assumptions!$B$22))+(1-Model!$H$7)*(Assumptions!$B$5*D$4*(1-Assumptions!$B$23)-Assumptions!$B$21))/1000-Assumptions!$B$25</f>
        <v>18.859936</v>
      </c>
      <c r="E8" s="20" t="n">
        <f aca="false">$B8*Model!$H$5*(Model!$H$7*(Assumptions!$B$13*E$4*(1-Assumptions!$B$23)-(Assumptions!$B$21+Assumptions!$B$22))+(1-Model!$H$7)*(Assumptions!$B$5*E$4*(1-Assumptions!$B$23)-Assumptions!$B$21))/1000-Assumptions!$B$25</f>
        <v>24.10104</v>
      </c>
      <c r="F8" s="20" t="n">
        <f aca="false">$B8*Model!$H$5*(Model!$H$7*(Assumptions!$B$13*F$4*(1-Assumptions!$B$23)-(Assumptions!$B$21+Assumptions!$B$22))+(1-Model!$H$7)*(Assumptions!$B$5*F$4*(1-Assumptions!$B$23)-Assumptions!$B$21))/1000-Assumptions!$B$25</f>
        <v>29.342144</v>
      </c>
      <c r="G8" s="20" t="n">
        <f aca="false">$B8*Model!$H$5*(Model!$H$7*(Assumptions!$B$13*G$4*(1-Assumptions!$B$23)-(Assumptions!$B$21+Assumptions!$B$22))+(1-Model!$H$7)*(Assumptions!$B$5*G$4*(1-Assumptions!$B$23)-Assumptions!$B$21))/1000-Assumptions!$B$25</f>
        <v>34.583248</v>
      </c>
    </row>
    <row r="9" customFormat="false" ht="15" hidden="false" customHeight="true" outlineLevel="0" collapsed="false">
      <c r="B9" s="24" t="n">
        <v>1.25</v>
      </c>
      <c r="C9" s="20" t="n">
        <f aca="false">$B9*Model!$H$5*(Model!$H$7*(Assumptions!$B$13*C$4*(1-Assumptions!$B$23)-(Assumptions!$B$21+Assumptions!$B$22))+(1-Model!$H$7)*(Assumptions!$B$5*C$4*(1-Assumptions!$B$23)-Assumptions!$B$21))/1000-Assumptions!$B$25</f>
        <v>16.0214</v>
      </c>
      <c r="D9" s="20" t="n">
        <f aca="false">$B9*Model!$H$5*(Model!$H$7*(Assumptions!$B$13*D$4*(1-Assumptions!$B$23)-(Assumptions!$B$21+Assumptions!$B$22))+(1-Model!$H$7)*(Assumptions!$B$5*D$4*(1-Assumptions!$B$23)-Assumptions!$B$21))/1000-Assumptions!$B$25</f>
        <v>21.9772</v>
      </c>
      <c r="E9" s="20" t="n">
        <f aca="false">$B9*Model!$H$5*(Model!$H$7*(Assumptions!$B$13*E$4*(1-Assumptions!$B$23)-(Assumptions!$B$21+Assumptions!$B$22))+(1-Model!$H$7)*(Assumptions!$B$5*E$4*(1-Assumptions!$B$23)-Assumptions!$B$21))/1000-Assumptions!$B$25</f>
        <v>27.933</v>
      </c>
      <c r="F9" s="20" t="n">
        <f aca="false">$B9*Model!$H$5*(Model!$H$7*(Assumptions!$B$13*F$4*(1-Assumptions!$B$23)-(Assumptions!$B$21+Assumptions!$B$22))+(1-Model!$H$7)*(Assumptions!$B$5*F$4*(1-Assumptions!$B$23)-Assumptions!$B$21))/1000-Assumptions!$B$25</f>
        <v>33.8888</v>
      </c>
      <c r="G9" s="20" t="n">
        <f aca="false">$B9*Model!$H$5*(Model!$H$7*(Assumptions!$B$13*G$4*(1-Assumptions!$B$23)-(Assumptions!$B$21+Assumptions!$B$22))+(1-Model!$H$7)*(Assumptions!$B$5*G$4*(1-Assumptions!$B$23)-Assumptions!$B$21))/1000-Assumptions!$B$25</f>
        <v>39.8446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2"/>
    <col collapsed="false" customWidth="true" hidden="false" outlineLevel="0" max="2" min="2" style="1" width="12"/>
  </cols>
  <sheetData>
    <row r="1" customFormat="false" ht="15" hidden="false" customHeight="true" outlineLevel="0" collapsed="false">
      <c r="A1" s="15" t="s">
        <v>114</v>
      </c>
    </row>
    <row r="3" customFormat="false" ht="15" hidden="false" customHeight="true" outlineLevel="0" collapsed="false">
      <c r="A3" s="4" t="s">
        <v>115</v>
      </c>
    </row>
    <row r="4" customFormat="false" ht="15" hidden="false" customHeight="true" outlineLevel="0" collapsed="false">
      <c r="A4" s="1" t="s">
        <v>116</v>
      </c>
      <c r="B4" s="12" t="n">
        <v>39</v>
      </c>
    </row>
    <row r="5" customFormat="false" ht="15" hidden="false" customHeight="true" outlineLevel="0" collapsed="false">
      <c r="A5" s="1" t="s">
        <v>117</v>
      </c>
      <c r="B5" s="12" t="n">
        <v>4.7</v>
      </c>
    </row>
    <row r="6" customFormat="false" ht="15" hidden="false" customHeight="true" outlineLevel="0" collapsed="false">
      <c r="A6" s="1" t="s">
        <v>118</v>
      </c>
      <c r="B6" s="12" t="n">
        <v>2.3</v>
      </c>
    </row>
    <row r="7" customFormat="false" ht="15" hidden="false" customHeight="true" outlineLevel="0" collapsed="false">
      <c r="A7" s="1" t="s">
        <v>119</v>
      </c>
      <c r="B7" s="12" t="n">
        <v>4</v>
      </c>
    </row>
    <row r="8" customFormat="false" ht="15" hidden="false" customHeight="true" outlineLevel="0" collapsed="false">
      <c r="A8" s="23" t="s">
        <v>120</v>
      </c>
      <c r="B8" s="21" t="n">
        <f aca="false">SUM(B4:B7)</f>
        <v>50</v>
      </c>
    </row>
    <row r="9" customFormat="false" ht="15" hidden="false" customHeight="true" outlineLevel="0" collapsed="false">
      <c r="A9" s="3" t="s">
        <v>121</v>
      </c>
    </row>
    <row r="11" customFormat="false" ht="15" hidden="false" customHeight="true" outlineLevel="0" collapsed="false">
      <c r="A11" s="4" t="s">
        <v>122</v>
      </c>
    </row>
    <row r="12" customFormat="false" ht="27.75" hidden="false" customHeight="true" outlineLevel="0" collapsed="false">
      <c r="A12" s="25" t="s">
        <v>123</v>
      </c>
    </row>
    <row r="13" customFormat="false" ht="27.75" hidden="false" customHeight="true" outlineLevel="0" collapsed="false">
      <c r="A13" s="25" t="s">
        <v>124</v>
      </c>
    </row>
    <row r="14" customFormat="false" ht="15" hidden="false" customHeight="true" outlineLevel="0" collapsed="false">
      <c r="A14" s="25" t="s">
        <v>125</v>
      </c>
    </row>
    <row r="15" customFormat="false" ht="15" hidden="false" customHeight="true" outlineLevel="0" collapsed="false">
      <c r="A15" s="25" t="s">
        <v>126</v>
      </c>
    </row>
    <row r="16" customFormat="false" ht="15" hidden="false" customHeight="true" outlineLevel="0" collapsed="false">
      <c r="A16" s="25" t="s">
        <v>127</v>
      </c>
    </row>
    <row r="17" customFormat="false" ht="15" hidden="false" customHeight="true" outlineLevel="0" collapsed="false">
      <c r="A17" s="25" t="s">
        <v>128</v>
      </c>
    </row>
    <row r="20" customFormat="false" ht="15" hidden="false" customHeight="true" outlineLevel="0" collapsed="false">
      <c r="A20" s="4" t="s">
        <v>129</v>
      </c>
    </row>
    <row r="21" customFormat="false" ht="15" hidden="false" customHeight="true" outlineLevel="0" collapsed="false">
      <c r="A21" s="1" t="s">
        <v>130</v>
      </c>
    </row>
    <row r="22" customFormat="false" ht="15" hidden="false" customHeight="true" outlineLevel="0" collapsed="false">
      <c r="A22" s="1" t="s">
        <v>131</v>
      </c>
    </row>
    <row r="23" customFormat="false" ht="15" hidden="false" customHeight="true" outlineLevel="0" collapsed="false">
      <c r="A23" s="1" t="s">
        <v>132</v>
      </c>
    </row>
    <row r="24" customFormat="false" ht="15" hidden="false" customHeight="true" outlineLevel="0" collapsed="false">
      <c r="A24" s="1" t="s">
        <v>133</v>
      </c>
    </row>
    <row r="25" customFormat="false" ht="15" hidden="false" customHeight="true" outlineLevel="0" collapsed="false">
      <c r="A25" s="1" t="s">
        <v>134</v>
      </c>
    </row>
    <row r="28" customFormat="false" ht="15" hidden="false" customHeight="true" outlineLevel="0" collapsed="false">
      <c r="A28" s="4" t="s">
        <v>135</v>
      </c>
    </row>
    <row r="29" customFormat="false" ht="27.75" hidden="false" customHeight="true" outlineLevel="0" collapsed="false">
      <c r="A29" s="25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2026-07-05T06:11:30Z</dcterms:created>
  <dc:creator>openpyxl</dc:creator>
  <dc:description/>
  <dc:language>en-US</dc:language>
  <cp:lastModifiedBy/>
  <dcterms:modified xsi:type="dcterms:W3CDTF">2026-07-05T06:12:54Z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